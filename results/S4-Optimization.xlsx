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 sheetId="1" state="hidden" r:id="rId1"/>
    <sheet xmlns:r="http://schemas.openxmlformats.org/officeDocument/2006/relationships" name="Full Data (256 &amp; 512)" sheetId="2" state="visible" r:id="rId2"/>
    <sheet xmlns:r="http://schemas.openxmlformats.org/officeDocument/2006/relationships" name="VLEN 512 vs 256" sheetId="3" state="visible" r:id="rId3"/>
    <sheet xmlns:r="http://schemas.openxmlformats.org/officeDocument/2006/relationships" name="RVV vs Scalar factor" sheetId="4" state="visible" r:id="rId4"/>
    <sheet xmlns:r="http://schemas.openxmlformats.org/officeDocument/2006/relationships" name="Core power (VLEN 256)" sheetId="5" state="visible" r:id="rId5"/>
    <sheet xmlns:r="http://schemas.openxmlformats.org/officeDocument/2006/relationships" name="Validation &amp; correction" sheetId="6" state="visible" r:id="rId6"/>
    <sheet xmlns:r="http://schemas.openxmlformats.org/officeDocument/2006/relationships" name="Final Comparison" sheetId="7" state="visible" r:id="rId7"/>
    <sheet xmlns:r="http://schemas.openxmlformats.org/officeDocument/2006/relationships" name="Galaxy CNN 61K" sheetId="8" state="visible" r:id="rId8"/>
    <sheet xmlns:r="http://schemas.openxmlformats.org/officeDocument/2006/relationships" name="S4D d64 and d108" sheetId="9" state="visible" r:id="rId9"/>
    <sheet xmlns:r="http://schemas.openxmlformats.org/officeDocument/2006/relationships" name="Controlled seq256" sheetId="10" state="visible" r:id="rId10"/>
    <sheet xmlns:r="http://schemas.openxmlformats.org/officeDocument/2006/relationships" name="Setup and Notes" sheetId="11" state="visible" r:id="rId11"/>
    <sheet xmlns:r="http://schemas.openxmlformats.org/officeDocument/2006/relationships" name="Notes and Work" sheetId="12" state="visible" r:id="rId12"/>
    <sheet xmlns:r="http://schemas.openxmlformats.org/officeDocument/2006/relationships" name="Analysis (Initial)" sheetId="13" state="visible" r:id="rId13"/>
    <sheet xmlns:r="http://schemas.openxmlformats.org/officeDocument/2006/relationships" name="Analysis (Post Optimization)" sheetId="14" state="visible" r:id="rId14"/>
    <sheet xmlns:r="http://schemas.openxmlformats.org/officeDocument/2006/relationships" name="Optimization" sheetId="15" state="visible" r:id="rId15"/>
    <sheet xmlns:r="http://schemas.openxmlformats.org/officeDocument/2006/relationships" name="McPat Results" sheetId="16" state="visible" r:id="rId16"/>
    <sheet xmlns:r="http://schemas.openxmlformats.org/officeDocument/2006/relationships" name="Summary &amp; Correction" sheetId="17" state="visible" r:id="rId17"/>
  </sheets>
  <definedNames/>
  <calcPr calcId="124519" fullCalcOnLoad="1"/>
</workbook>
</file>

<file path=xl/styles.xml><?xml version="1.0" encoding="utf-8"?>
<styleSheet xmlns="http://schemas.openxmlformats.org/spreadsheetml/2006/main">
  <numFmts count="10">
    <numFmt numFmtId="164" formatCode="dd&quot;/&quot;mm&quot;/&quot;yy"/>
    <numFmt numFmtId="165" formatCode="dd.MM.yyyy"/>
    <numFmt numFmtId="166" formatCode="dd&quot;.&quot;mm&quot;.&quot;yy"/>
    <numFmt numFmtId="167" formatCode="mm&quot;/&quot;dd&quot;/&quot;yy"/>
    <numFmt numFmtId="168" formatCode="0.0%"/>
    <numFmt numFmtId="169" formatCode="0.0000"/>
    <numFmt numFmtId="170" formatCode="0.000000"/>
    <numFmt numFmtId="171" formatCode="0.000"/>
    <numFmt numFmtId="172" formatCode="0.00&quot;x&quot;"/>
    <numFmt numFmtId="173" formatCode="+0.0%;-0.0%"/>
  </numFmts>
  <fonts count="43">
    <font>
      <name val="Arial"/>
      <color rgb="FF000000"/>
      <sz val="10"/>
      <scheme val="minor"/>
    </font>
    <font>
      <name val="Arial"/>
      <color theme="1"/>
    </font>
    <font>
      <name val="Arial"/>
      <b val="1"/>
      <color theme="1"/>
      <sz val="13"/>
    </font>
    <font>
      <name val="Calibri"/>
      <color rgb="FF000000"/>
      <sz val="11"/>
    </font>
    <font>
      <name val="Arial"/>
      <i val="1"/>
      <color theme="1"/>
      <sz val="9"/>
    </font>
    <font>
      <name val="Arial"/>
      <color theme="1"/>
      <scheme val="minor"/>
    </font>
    <font>
      <name val="Arial"/>
      <b val="1"/>
      <color theme="1"/>
      <sz val="11"/>
    </font>
    <font>
      <name val="Arial"/>
      <b val="1"/>
      <color theme="1"/>
      <sz val="12"/>
    </font>
    <font>
      <name val="Arial"/>
      <b val="1"/>
      <color theme="1"/>
    </font>
    <font>
      <name val="Arial"/>
      <b val="1"/>
      <color rgb="FFFFFFFF"/>
      <sz val="11"/>
    </font>
    <font/>
    <font>
      <name val="Arial"/>
      <b val="1"/>
      <color rgb="FFC00000"/>
      <sz val="12"/>
    </font>
    <font>
      <name val="Arial"/>
      <b val="1"/>
      <color rgb="FF1F3864"/>
      <sz val="13"/>
    </font>
    <font>
      <name val="Arial"/>
      <i val="1"/>
      <color rgb="FF595959"/>
      <sz val="9"/>
    </font>
    <font>
      <name val="Arial"/>
      <color rgb="FFC00000"/>
    </font>
    <font>
      <name val="Arial"/>
      <b val="1"/>
      <color rgb="FF006100"/>
    </font>
    <font>
      <name val="Arial"/>
      <b val="1"/>
      <color rgb="FFFFFFFF"/>
    </font>
    <font>
      <name val="Arial"/>
      <b val="1"/>
      <color rgb="FF000000"/>
    </font>
    <font>
      <name val="Arial"/>
      <color rgb="FF000000"/>
    </font>
    <font>
      <name val="Arial"/>
      <b val="1"/>
      <color rgb="FF1F3864"/>
      <sz val="11"/>
    </font>
    <font>
      <name val="Arial"/>
      <color rgb="FF333333"/>
    </font>
    <font>
      <name val="Arial"/>
      <b val="1"/>
      <color theme="1"/>
      <scheme val="minor"/>
    </font>
    <font>
      <name val="Comfortaa"/>
      <color theme="1"/>
      <sz val="20"/>
    </font>
    <font>
      <name val="Comfortaa"/>
      <b val="1"/>
      <color rgb="FF4A86E8"/>
      <sz val="29"/>
    </font>
    <font>
      <name val="Comfortaa"/>
      <b val="1"/>
      <color rgb="FF666666"/>
    </font>
    <font>
      <name val="Comfortaa"/>
      <b val="1"/>
      <color rgb="FF4A86E8"/>
    </font>
    <font>
      <name val="Comfortaa"/>
      <color rgb="FF999999"/>
    </font>
    <font>
      <name val="Comfortaa"/>
      <b val="1"/>
      <color rgb="FF4A86E8"/>
      <sz val="11"/>
    </font>
    <font>
      <name val="Comfortaa"/>
      <b val="1"/>
      <color rgb="FF434343"/>
    </font>
    <font>
      <name val="Comfortaa"/>
      <b val="1"/>
      <color rgb="FF0B5394"/>
      <sz val="9"/>
    </font>
    <font>
      <name val="Comfortaa"/>
      <b val="1"/>
      <color rgb="FF434343"/>
      <sz val="14"/>
    </font>
    <font>
      <name val="Comfortaa"/>
      <b val="1"/>
      <color rgb="FF45818E"/>
      <sz val="12"/>
    </font>
    <font>
      <name val="Comfortaa"/>
      <color theme="1"/>
    </font>
    <font>
      <name val="Comfortaa"/>
      <color rgb="FF45818E"/>
    </font>
    <font>
      <name val="Arial"/>
      <b val="1"/>
      <color rgb="FF007000"/>
    </font>
    <font>
      <name val="Arial"/>
      <i val="1"/>
      <color theme="1"/>
      <sz val="8"/>
    </font>
    <font>
      <name val="Arial"/>
      <b val="1"/>
      <color rgb="001F3864"/>
      <sz val="13"/>
    </font>
    <font>
      <name val="Arial"/>
      <i val="1"/>
      <color rgb="00595959"/>
      <sz val="9"/>
    </font>
    <font>
      <name val="Arial"/>
      <b val="1"/>
      <color rgb="00FFFFFF"/>
      <sz val="10"/>
    </font>
    <font>
      <name val="Arial"/>
      <b val="1"/>
      <sz val="10"/>
    </font>
    <font>
      <name val="Arial"/>
      <sz val="10"/>
    </font>
    <font>
      <name val="Arial"/>
      <b val="1"/>
      <color rgb="001F3864"/>
      <sz val="11"/>
    </font>
    <font>
      <name val="Arial"/>
      <color rgb="00333333"/>
      <sz val="10"/>
    </font>
  </fonts>
  <fills count="93">
    <fill>
      <patternFill/>
    </fill>
    <fill>
      <patternFill patternType="lightGray"/>
    </fill>
    <fill>
      <patternFill patternType="solid">
        <fgColor rgb="FFD9E1F2"/>
        <bgColor rgb="FFD9E1F2"/>
      </patternFill>
    </fill>
    <fill>
      <patternFill patternType="solid">
        <fgColor rgb="FF2F5496"/>
        <bgColor rgb="FF2F5496"/>
      </patternFill>
    </fill>
    <fill>
      <patternFill patternType="solid">
        <fgColor rgb="FFF2F2F2"/>
        <bgColor rgb="FFF2F2F2"/>
      </patternFill>
    </fill>
    <fill>
      <patternFill patternType="solid">
        <fgColor rgb="FF1F4E79"/>
        <bgColor rgb="FF1F4E79"/>
      </patternFill>
    </fill>
    <fill>
      <patternFill patternType="solid">
        <fgColor rgb="FFEAF0F7"/>
        <bgColor rgb="FFEAF0F7"/>
      </patternFill>
    </fill>
    <fill>
      <patternFill patternType="solid">
        <fgColor rgb="FFFFFFFF"/>
        <bgColor rgb="FFFFFFFF"/>
      </patternFill>
    </fill>
    <fill>
      <patternFill patternType="solid">
        <fgColor rgb="FFD9D9D9"/>
        <bgColor rgb="FFD9D9D9"/>
      </patternFill>
    </fill>
    <fill>
      <patternFill patternType="solid">
        <fgColor rgb="FF63BE7B"/>
        <bgColor rgb="FF63BE7B"/>
      </patternFill>
    </fill>
    <fill>
      <patternFill patternType="solid">
        <fgColor rgb="FFF8696B"/>
        <bgColor rgb="FFF8696B"/>
      </patternFill>
    </fill>
    <fill>
      <patternFill patternType="solid">
        <fgColor rgb="FFAEB785"/>
        <bgColor rgb="FFAEB785"/>
      </patternFill>
    </fill>
    <fill>
      <patternFill patternType="solid">
        <fgColor rgb="FF93C47D"/>
        <bgColor rgb="FF93C47D"/>
      </patternFill>
    </fill>
    <fill>
      <patternFill patternType="solid">
        <fgColor rgb="FF9BC07F"/>
        <bgColor rgb="FF9BC07F"/>
      </patternFill>
    </fill>
    <fill>
      <patternFill patternType="solid">
        <fgColor rgb="FF9DBF80"/>
        <bgColor rgb="FF9DBF80"/>
      </patternFill>
    </fill>
    <fill>
      <patternFill patternType="solid">
        <fgColor rgb="FFEA9999"/>
        <bgColor rgb="FFEA9999"/>
      </patternFill>
    </fill>
    <fill>
      <patternFill patternType="solid">
        <fgColor rgb="FFA8D27F"/>
        <bgColor rgb="FFA8D27F"/>
      </patternFill>
    </fill>
    <fill>
      <patternFill patternType="solid">
        <fgColor rgb="FFEA9797"/>
        <bgColor rgb="FFEA9797"/>
      </patternFill>
    </fill>
    <fill>
      <patternFill patternType="solid">
        <fgColor rgb="FFE88C8C"/>
        <bgColor rgb="FFE88C8C"/>
      </patternFill>
    </fill>
    <fill>
      <patternFill patternType="solid">
        <fgColor rgb="FFE26E6E"/>
        <bgColor rgb="FFE26E6E"/>
      </patternFill>
    </fill>
    <fill>
      <patternFill patternType="solid">
        <fgColor rgb="FFE16A6A"/>
        <bgColor rgb="FFE16A6A"/>
      </patternFill>
    </fill>
    <fill>
      <patternFill patternType="solid">
        <fgColor rgb="FF99C17F"/>
        <bgColor rgb="FF99C17F"/>
      </patternFill>
    </fill>
    <fill>
      <patternFill patternType="solid">
        <fgColor rgb="FFF9756D"/>
        <bgColor rgb="FFF9756D"/>
      </patternFill>
    </fill>
    <fill>
      <patternFill patternType="solid">
        <fgColor rgb="FFEA9696"/>
        <bgColor rgb="FFEA9696"/>
      </patternFill>
    </fill>
    <fill>
      <patternFill patternType="solid">
        <fgColor rgb="FFE5E382"/>
        <bgColor rgb="FFE5E382"/>
      </patternFill>
    </fill>
    <fill>
      <patternFill patternType="solid">
        <fgColor rgb="FFE16868"/>
        <bgColor rgb="FFE16868"/>
      </patternFill>
    </fill>
    <fill>
      <patternFill patternType="solid">
        <fgColor rgb="FFE06666"/>
        <bgColor rgb="FFE06666"/>
      </patternFill>
    </fill>
    <fill>
      <patternFill patternType="solid">
        <fgColor rgb="FFEA9595"/>
        <bgColor rgb="FFEA9595"/>
      </patternFill>
    </fill>
    <fill>
      <patternFill patternType="solid">
        <fgColor rgb="FFA0D07F"/>
        <bgColor rgb="FFA0D07F"/>
      </patternFill>
    </fill>
    <fill>
      <patternFill patternType="solid">
        <fgColor rgb="FFA9D27F"/>
        <bgColor rgb="FFA9D27F"/>
      </patternFill>
    </fill>
    <fill>
      <patternFill patternType="solid">
        <fgColor rgb="FFEA9898"/>
        <bgColor rgb="FFEA9898"/>
      </patternFill>
    </fill>
    <fill>
      <patternFill patternType="solid">
        <fgColor rgb="FFA3D17F"/>
        <bgColor rgb="FFA3D17F"/>
      </patternFill>
    </fill>
    <fill>
      <patternFill patternType="solid">
        <fgColor rgb="FFFCAD78"/>
        <bgColor rgb="FFFCAD78"/>
      </patternFill>
    </fill>
    <fill>
      <patternFill patternType="solid">
        <fgColor rgb="FFADD37F"/>
        <bgColor rgb="FFADD37F"/>
      </patternFill>
    </fill>
    <fill>
      <patternFill patternType="solid">
        <fgColor rgb="FF7FC67D"/>
        <bgColor rgb="FF7FC67D"/>
      </patternFill>
    </fill>
    <fill>
      <patternFill patternType="solid">
        <fgColor rgb="FFFDC87D"/>
        <bgColor rgb="FFFDC87D"/>
      </patternFill>
    </fill>
    <fill>
      <patternFill patternType="solid">
        <fgColor rgb="FFBFD880"/>
        <bgColor rgb="FFBFD880"/>
      </patternFill>
    </fill>
    <fill>
      <patternFill patternType="solid">
        <fgColor rgb="FF65BF7B"/>
        <bgColor rgb="FF65BF7B"/>
      </patternFill>
    </fill>
    <fill>
      <patternFill patternType="solid">
        <fgColor rgb="FFBFD980"/>
        <bgColor rgb="FFBFD980"/>
      </patternFill>
    </fill>
    <fill>
      <patternFill patternType="solid">
        <fgColor rgb="FFFCBC7B"/>
        <bgColor rgb="FFFCBC7B"/>
      </patternFill>
    </fill>
    <fill>
      <patternFill patternType="solid">
        <fgColor rgb="FFFFE683"/>
        <bgColor rgb="FFFFE683"/>
      </patternFill>
    </fill>
    <fill>
      <patternFill patternType="solid">
        <fgColor rgb="FFF97A6E"/>
        <bgColor rgb="FFF97A6E"/>
      </patternFill>
    </fill>
    <fill>
      <patternFill patternType="solid">
        <fgColor rgb="FFB6D680"/>
        <bgColor rgb="FFB6D680"/>
      </patternFill>
    </fill>
    <fill>
      <patternFill patternType="solid">
        <fgColor rgb="FFB4D580"/>
        <bgColor rgb="FFB4D580"/>
      </patternFill>
    </fill>
    <fill>
      <patternFill patternType="solid">
        <fgColor rgb="FFB2D580"/>
        <bgColor rgb="FFB2D580"/>
      </patternFill>
    </fill>
    <fill>
      <patternFill patternType="solid">
        <fgColor rgb="FF00AB9E"/>
        <bgColor rgb="FF00AB9E"/>
      </patternFill>
    </fill>
    <fill>
      <patternFill patternType="solid">
        <fgColor rgb="FF67BF7B"/>
        <bgColor rgb="FF67BF7B"/>
      </patternFill>
    </fill>
    <fill>
      <patternFill patternType="solid">
        <fgColor rgb="FF6FC17C"/>
        <bgColor rgb="FF6FC17C"/>
      </patternFill>
    </fill>
    <fill>
      <patternFill patternType="solid">
        <fgColor rgb="FFDA6D68"/>
        <bgColor rgb="FFDA6D68"/>
      </patternFill>
    </fill>
    <fill>
      <patternFill patternType="solid">
        <fgColor rgb="FF9BBA7B"/>
        <bgColor rgb="FF9BBA7B"/>
      </patternFill>
    </fill>
    <fill>
      <patternFill patternType="solid">
        <fgColor rgb="FF99BC7B"/>
        <bgColor rgb="FF99BC7B"/>
      </patternFill>
    </fill>
    <fill>
      <patternFill patternType="solid">
        <fgColor rgb="FFF97C6F"/>
        <bgColor rgb="FFF97C6F"/>
      </patternFill>
    </fill>
    <fill>
      <patternFill patternType="solid">
        <fgColor rgb="FFA7D27F"/>
        <bgColor rgb="FFA7D27F"/>
      </patternFill>
    </fill>
    <fill>
      <patternFill patternType="solid">
        <fgColor rgb="FFF3F3F3"/>
        <bgColor rgb="FFF3F3F3"/>
      </patternFill>
    </fill>
    <fill>
      <patternFill patternType="solid">
        <fgColor rgb="FFFDBE7B"/>
        <bgColor rgb="FFFDBE7B"/>
      </patternFill>
    </fill>
    <fill>
      <patternFill patternType="solid">
        <fgColor rgb="FFC5876E"/>
        <bgColor rgb="FFC5876E"/>
      </patternFill>
    </fill>
    <fill>
      <patternFill patternType="solid">
        <fgColor rgb="FFA1B379"/>
        <bgColor rgb="FFA1B379"/>
      </patternFill>
    </fill>
    <fill>
      <patternFill patternType="solid">
        <fgColor rgb="FFFB9C75"/>
        <bgColor rgb="FFFB9C75"/>
      </patternFill>
    </fill>
    <fill>
      <patternFill patternType="solid">
        <fgColor rgb="FF9DB77A"/>
        <bgColor rgb="FF9DB77A"/>
      </patternFill>
    </fill>
    <fill>
      <patternFill patternType="solid">
        <fgColor rgb="FFFB9874"/>
        <bgColor rgb="FFFB9874"/>
      </patternFill>
    </fill>
    <fill>
      <patternFill patternType="solid">
        <fgColor rgb="FFCFE2F3"/>
        <bgColor rgb="FFCFE2F3"/>
      </patternFill>
    </fill>
    <fill>
      <patternFill patternType="solid">
        <fgColor rgb="FFB4D6A5"/>
        <bgColor rgb="FFB4D6A5"/>
      </patternFill>
    </fill>
    <fill>
      <patternFill patternType="solid">
        <fgColor rgb="FFB6D7A8"/>
        <bgColor rgb="FFB6D7A8"/>
      </patternFill>
    </fill>
    <fill>
      <patternFill patternType="solid">
        <fgColor rgb="FF6DAA53"/>
        <bgColor rgb="FF6DAA53"/>
      </patternFill>
    </fill>
    <fill>
      <patternFill patternType="solid">
        <fgColor rgb="FFBAD780"/>
        <bgColor rgb="FFBAD780"/>
      </patternFill>
    </fill>
    <fill>
      <patternFill patternType="solid">
        <fgColor rgb="FF6DC17C"/>
        <bgColor rgb="FF6DC17C"/>
      </patternFill>
    </fill>
    <fill>
      <patternFill patternType="solid">
        <fgColor rgb="FF84B86D"/>
        <bgColor rgb="FF84B86D"/>
      </patternFill>
    </fill>
    <fill>
      <patternFill patternType="solid">
        <fgColor rgb="FF7CB364"/>
        <bgColor rgb="FF7CB364"/>
      </patternFill>
    </fill>
    <fill>
      <patternFill patternType="solid">
        <fgColor rgb="FFBCD880"/>
        <bgColor rgb="FFBCD880"/>
      </patternFill>
    </fill>
    <fill>
      <patternFill patternType="solid">
        <fgColor rgb="FF81B66A"/>
        <bgColor rgb="FF81B66A"/>
      </patternFill>
    </fill>
    <fill>
      <patternFill patternType="solid">
        <fgColor rgb="FF91C17D"/>
        <bgColor rgb="FF91C17D"/>
      </patternFill>
    </fill>
    <fill>
      <patternFill patternType="solid">
        <fgColor rgb="FF86BA70"/>
        <bgColor rgb="FF86BA70"/>
      </patternFill>
    </fill>
    <fill>
      <patternFill patternType="solid">
        <fgColor rgb="FFDC6B67"/>
        <bgColor rgb="FFDC6B67"/>
      </patternFill>
    </fill>
    <fill>
      <patternFill patternType="solid">
        <fgColor rgb="FFDB6C67"/>
        <bgColor rgb="FFDB6C67"/>
      </patternFill>
    </fill>
    <fill>
      <patternFill patternType="solid">
        <fgColor rgb="FFC3896E"/>
        <bgColor rgb="FFC3896E"/>
      </patternFill>
    </fill>
    <fill>
      <patternFill patternType="solid">
        <fgColor rgb="FFC9836D"/>
        <bgColor rgb="FFC9836D"/>
      </patternFill>
    </fill>
    <fill>
      <patternFill patternType="solid">
        <fgColor rgb="FFCB7F6C"/>
        <bgColor rgb="FFCB7F6C"/>
      </patternFill>
    </fill>
    <fill>
      <patternFill patternType="solid">
        <fgColor rgb="FF9DB87A"/>
        <bgColor rgb="FF9DB87A"/>
      </patternFill>
    </fill>
    <fill>
      <patternFill patternType="solid">
        <fgColor rgb="FFE9E583"/>
        <bgColor rgb="FFE9E583"/>
      </patternFill>
    </fill>
    <fill>
      <patternFill patternType="solid">
        <fgColor rgb="FF9FCF7E"/>
        <bgColor rgb="FF9FCF7E"/>
      </patternFill>
    </fill>
    <fill>
      <patternFill patternType="solid">
        <fgColor rgb="FFB29E74"/>
        <bgColor rgb="FFB29E74"/>
      </patternFill>
    </fill>
    <fill>
      <patternFill patternType="solid">
        <fgColor rgb="FFB49C73"/>
        <bgColor rgb="FFB49C73"/>
      </patternFill>
    </fill>
    <fill>
      <patternFill patternType="solid">
        <fgColor rgb="FFB89772"/>
        <bgColor rgb="FFB89772"/>
      </patternFill>
    </fill>
    <fill>
      <patternFill patternType="solid">
        <fgColor rgb="FF94C37C"/>
        <bgColor rgb="FF94C37C"/>
      </patternFill>
    </fill>
    <fill>
      <patternFill patternType="solid">
        <fgColor rgb="FF9DCF7E"/>
        <bgColor rgb="FF9DCF7E"/>
      </patternFill>
    </fill>
    <fill>
      <patternFill patternType="solid">
        <fgColor rgb="FFB1A074"/>
        <bgColor rgb="FFB1A074"/>
      </patternFill>
    </fill>
    <fill>
      <patternFill patternType="solid">
        <fgColor rgb="FFB0A174"/>
        <bgColor rgb="FFB0A174"/>
      </patternFill>
    </fill>
    <fill>
      <patternFill patternType="solid">
        <fgColor rgb="FFB1D47F"/>
        <bgColor rgb="FFB1D47F"/>
      </patternFill>
    </fill>
    <fill>
      <patternFill patternType="solid">
        <fgColor rgb="FFFCB079"/>
        <bgColor rgb="FFFCB079"/>
      </patternFill>
    </fill>
    <fill>
      <patternFill patternType="solid">
        <fgColor rgb="FFFA9473"/>
        <bgColor rgb="FFFA9473"/>
      </patternFill>
    </fill>
    <fill>
      <patternFill patternType="solid">
        <fgColor rgb="FF78C47C"/>
        <bgColor rgb="FF78C47C"/>
      </patternFill>
    </fill>
    <fill>
      <patternFill patternType="solid">
        <fgColor rgb="001F4E79"/>
      </patternFill>
    </fill>
    <fill>
      <patternFill patternType="solid">
        <fgColor rgb="00EAF0F7"/>
      </patternFill>
    </fill>
  </fills>
  <borders count="39">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top style="thin">
        <color rgb="FFBBBBBB"/>
      </top>
      <bottom style="thin">
        <color rgb="FFBBBBBB"/>
      </bottom>
    </border>
    <border>
      <right style="thin">
        <color rgb="FFBBBBBB"/>
      </right>
      <top style="thin">
        <color rgb="FFBBBBBB"/>
      </top>
      <bottom style="thin">
        <color rgb="FFBBBBBB"/>
      </bottom>
    </border>
    <border>
      <left style="thin">
        <color rgb="FFBFBFBF"/>
      </left>
      <right style="thin">
        <color rgb="FFBFBFBF"/>
      </right>
      <top style="thin">
        <color rgb="FFBFBFBF"/>
      </top>
      <bottom style="thin">
        <color rgb="FFBFBFBF"/>
      </bottom>
    </border>
    <border>
      <left style="dotted">
        <color rgb="FFCCCCCC"/>
      </left>
      <top style="dotted">
        <color rgb="FFCCCCCC"/>
      </top>
    </border>
    <border>
      <top style="dotted">
        <color rgb="FFCCCCCC"/>
      </top>
    </border>
    <border>
      <right style="dotted">
        <color rgb="FFCCCCCC"/>
      </right>
      <top style="dotted">
        <color rgb="FFCCCCCC"/>
      </top>
    </border>
    <border>
      <left style="dotted">
        <color rgb="FFCCCCCC"/>
      </left>
      <bottom style="dotted">
        <color rgb="FFCCCCCC"/>
      </bottom>
    </border>
    <border>
      <bottom style="dotted">
        <color rgb="FFCCCCCC"/>
      </bottom>
    </border>
    <border>
      <right style="dotted">
        <color rgb="FFCCCCCC"/>
      </right>
      <bottom style="dotted">
        <color rgb="FFCCCCCC"/>
      </bottom>
    </border>
    <border>
      <left style="dotted">
        <color rgb="FFD9D9D9"/>
      </left>
      <top style="dotted">
        <color rgb="FFD9D9D9"/>
      </top>
      <bottom style="dotted">
        <color rgb="FFD9D9D9"/>
      </bottom>
    </border>
    <border>
      <top style="dotted">
        <color rgb="FFD9D9D9"/>
      </top>
      <bottom style="dotted">
        <color rgb="FFD9D9D9"/>
      </bottom>
    </border>
    <border>
      <right style="dotted">
        <color rgb="FFD9D9D9"/>
      </right>
      <top style="dotted">
        <color rgb="FFD9D9D9"/>
      </top>
      <bottom style="dotted">
        <color rgb="FFD9D9D9"/>
      </bottom>
    </border>
    <border>
      <left style="thin">
        <color rgb="FFCCCCCC"/>
      </left>
      <right style="thin">
        <color rgb="FFCCCCCC"/>
      </right>
      <top style="thin">
        <color rgb="FFCCCCCC"/>
      </top>
      <bottom style="thin">
        <color rgb="FFCCCCCC"/>
      </bottom>
    </border>
    <border>
      <left style="dotted">
        <color rgb="FFCCCCCC"/>
      </left>
      <top style="dotted">
        <color rgb="FFCCCCCC"/>
      </top>
      <bottom style="dotted">
        <color rgb="FFCCCCCC"/>
      </bottom>
    </border>
    <border>
      <top style="dotted">
        <color rgb="FFCCCCCC"/>
      </top>
      <bottom style="dotted">
        <color rgb="FFCCCCCC"/>
      </bottom>
    </border>
    <border>
      <right style="dotted">
        <color rgb="FFCCCCCC"/>
      </right>
      <top style="dotted">
        <color rgb="FFCCCCCC"/>
      </top>
      <bottom style="dotted">
        <color rgb="FFCCCCCC"/>
      </bottom>
    </border>
    <border>
      <left style="thin">
        <color rgb="FF00AB9E"/>
      </left>
      <top style="thin">
        <color rgb="FF00AB9E"/>
      </top>
      <bottom style="thin">
        <color rgb="FF00AB9E"/>
      </bottom>
    </border>
    <border>
      <top style="thin">
        <color rgb="FF00AB9E"/>
      </top>
      <bottom style="thin">
        <color rgb="FF00AB9E"/>
      </bottom>
    </border>
    <border>
      <left style="dotted">
        <color rgb="FFCCCCCC"/>
      </left>
      <right style="dotted">
        <color rgb="FFCCCCCC"/>
      </right>
    </border>
    <border>
      <left style="dotted">
        <color rgb="FFCCCCCC"/>
      </left>
    </border>
    <border>
      <right style="dotted">
        <color rgb="FFCCCCCC"/>
      </right>
    </border>
    <border>
      <right style="dotted">
        <color rgb="FFEFEFEF"/>
      </right>
      <top style="dotted">
        <color rgb="FFCCCCCC"/>
      </top>
      <bottom style="dotted">
        <color rgb="FFCCCCCC"/>
      </bottom>
    </border>
    <border>
      <left style="dotted">
        <color rgb="FFCCCCCC"/>
      </left>
      <right style="dotted">
        <color rgb="FFCCCCCC"/>
      </right>
      <top style="dotted">
        <color rgb="FFCCCCCC"/>
      </top>
      <bottom style="dotted">
        <color rgb="FFCCCCCC"/>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top style="thin">
        <color rgb="FFBBBBBB"/>
      </top>
    </border>
    <border>
      <right style="thin">
        <color rgb="FFBBBBBB"/>
      </right>
      <top style="thin">
        <color rgb="FFBBBBBB"/>
      </top>
    </border>
    <border>
      <left style="dotted">
        <color rgb="FFD9D9D9"/>
      </left>
      <right style="dotted">
        <color rgb="FFD9D9D9"/>
      </right>
      <top style="dotted">
        <color rgb="FFD9D9D9"/>
      </top>
      <bottom style="dotted">
        <color rgb="FFD9D9D9"/>
      </bottom>
    </border>
    <border>
      <top style="dotted">
        <color rgb="FFD9D9D9"/>
      </top>
    </border>
    <border>
      <right style="dotted">
        <color rgb="FFD9D9D9"/>
      </right>
      <top style="dotted">
        <color rgb="FFD9D9D9"/>
      </top>
    </border>
    <border>
      <top style="thin">
        <color rgb="FF00AB9E"/>
      </top>
    </border>
    <border>
      <top style="thin">
        <color rgb="FFB0B0B0"/>
      </top>
    </border>
    <border>
      <right style="thin">
        <color rgb="FFB0B0B0"/>
      </right>
      <top style="thin">
        <color rgb="FFB0B0B0"/>
      </top>
    </border>
    <border>
      <left style="thin">
        <color rgb="00BFBFBF"/>
      </left>
      <right style="thin">
        <color rgb="00BFBFBF"/>
      </right>
      <top style="thin">
        <color rgb="00BFBFBF"/>
      </top>
      <bottom style="thin">
        <color rgb="00BFBFBF"/>
      </bottom>
    </border>
  </borders>
  <cellStyleXfs count="1">
    <xf numFmtId="0" fontId="0" fillId="0" borderId="0"/>
  </cellStyleXfs>
  <cellXfs count="272">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left"/>
    </xf>
    <xf numFmtId="0" fontId="1"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horizontal="left"/>
    </xf>
    <xf numFmtId="0" fontId="5" fillId="0" borderId="0" pivotButton="0" quotePrefix="0" xfId="0"/>
    <xf numFmtId="0" fontId="6" fillId="2" borderId="1" applyAlignment="1" pivotButton="0" quotePrefix="0" xfId="0">
      <alignment horizontal="left"/>
    </xf>
    <xf numFmtId="0" fontId="6" fillId="2" borderId="1" applyAlignment="1" pivotButton="0" quotePrefix="0" xfId="0">
      <alignment horizontal="left"/>
    </xf>
    <xf numFmtId="0" fontId="7" fillId="0" borderId="0" applyAlignment="1" pivotButton="0" quotePrefix="0" xfId="0">
      <alignment horizontal="left"/>
    </xf>
    <xf numFmtId="0" fontId="8" fillId="0" borderId="1" applyAlignment="1" pivotButton="0" quotePrefix="0" xfId="0">
      <alignment horizontal="left"/>
    </xf>
    <xf numFmtId="0" fontId="9" fillId="3" borderId="1" applyAlignment="1" pivotButton="0" quotePrefix="0" xfId="0">
      <alignment horizontal="center"/>
    </xf>
    <xf numFmtId="0" fontId="1" fillId="0" borderId="2" applyAlignment="1" pivotButton="0" quotePrefix="0" xfId="0">
      <alignment horizontal="left"/>
    </xf>
    <xf numFmtId="0" fontId="10" fillId="0" borderId="3" pivotButton="0" quotePrefix="0" xfId="0"/>
    <xf numFmtId="0" fontId="10" fillId="0" borderId="4" pivotButton="0" quotePrefix="0" xfId="0"/>
    <xf numFmtId="3" fontId="1" fillId="0" borderId="1" applyAlignment="1" pivotButton="0" quotePrefix="0" xfId="0">
      <alignment horizontal="center"/>
    </xf>
    <xf numFmtId="9" fontId="1" fillId="0" borderId="1" applyAlignment="1" pivotButton="0" quotePrefix="0" xfId="0">
      <alignment horizontal="center"/>
    </xf>
    <xf numFmtId="0" fontId="1" fillId="0" borderId="1" applyAlignment="1" pivotButton="0" quotePrefix="0" xfId="0">
      <alignment horizontal="center"/>
    </xf>
    <xf numFmtId="0" fontId="8" fillId="4" borderId="1" applyAlignment="1" pivotButton="0" quotePrefix="0" xfId="0">
      <alignment horizontal="left"/>
    </xf>
    <xf numFmtId="3" fontId="1" fillId="4" borderId="1" applyAlignment="1" pivotButton="0" quotePrefix="0" xfId="0">
      <alignment horizontal="center"/>
    </xf>
    <xf numFmtId="9" fontId="1" fillId="4" borderId="1" applyAlignment="1" pivotButton="0" quotePrefix="0" xfId="0">
      <alignment horizontal="center"/>
    </xf>
    <xf numFmtId="0" fontId="1" fillId="4" borderId="1" applyAlignment="1" pivotButton="0" quotePrefix="0" xfId="0">
      <alignment horizontal="center"/>
    </xf>
    <xf numFmtId="0" fontId="8" fillId="0" borderId="1" applyAlignment="1" pivotButton="0" quotePrefix="0" xfId="0">
      <alignment horizontal="center"/>
    </xf>
    <xf numFmtId="0" fontId="4" fillId="0" borderId="0" applyAlignment="1" pivotButton="0" quotePrefix="0" xfId="0">
      <alignment vertical="top"/>
    </xf>
    <xf numFmtId="0" fontId="8" fillId="4" borderId="1" applyAlignment="1" pivotButton="0" quotePrefix="0" xfId="0">
      <alignment horizontal="center"/>
    </xf>
    <xf numFmtId="10" fontId="1" fillId="0" borderId="1" applyAlignment="1" pivotButton="0" quotePrefix="0" xfId="0">
      <alignment horizontal="center"/>
    </xf>
    <xf numFmtId="0" fontId="11" fillId="0" borderId="0" applyAlignment="1" pivotButton="0" quotePrefix="0" xfId="0">
      <alignment horizontal="left"/>
    </xf>
    <xf numFmtId="0" fontId="12" fillId="0" borderId="0" applyAlignment="1" pivotButton="0" quotePrefix="0" xfId="0">
      <alignment vertical="bottom"/>
    </xf>
    <xf numFmtId="0" fontId="13" fillId="0" borderId="0" applyAlignment="1" pivotButton="0" quotePrefix="0" xfId="0">
      <alignment vertical="bottom"/>
    </xf>
    <xf numFmtId="0" fontId="14" fillId="0" borderId="1" applyAlignment="1" pivotButton="0" quotePrefix="0" xfId="0">
      <alignment horizontal="center"/>
    </xf>
    <xf numFmtId="0" fontId="15" fillId="0" borderId="1" applyAlignment="1" pivotButton="0" quotePrefix="0" xfId="0">
      <alignment horizontal="center"/>
    </xf>
    <xf numFmtId="0" fontId="16" fillId="5" borderId="5" applyAlignment="1" pivotButton="0" quotePrefix="0" xfId="0">
      <alignment horizontal="center"/>
    </xf>
    <xf numFmtId="0" fontId="17" fillId="6" borderId="5" applyAlignment="1" pivotButton="0" quotePrefix="0" xfId="0">
      <alignment horizontal="left"/>
    </xf>
    <xf numFmtId="0" fontId="17" fillId="0" borderId="5" applyAlignment="1" pivotButton="0" quotePrefix="0" xfId="0">
      <alignment horizontal="center"/>
    </xf>
    <xf numFmtId="3" fontId="18" fillId="6" borderId="5" applyAlignment="1" pivotButton="0" quotePrefix="0" xfId="0">
      <alignment horizontal="right"/>
    </xf>
    <xf numFmtId="3" fontId="18" fillId="0" borderId="5" applyAlignment="1" pivotButton="0" quotePrefix="0" xfId="0">
      <alignment horizontal="right"/>
    </xf>
    <xf numFmtId="0" fontId="18" fillId="6" borderId="5" applyAlignment="1" pivotButton="0" quotePrefix="0" xfId="0">
      <alignment horizontal="center"/>
    </xf>
    <xf numFmtId="0" fontId="18" fillId="0" borderId="5" applyAlignment="1" pivotButton="0" quotePrefix="0" xfId="0">
      <alignment horizontal="right"/>
    </xf>
    <xf numFmtId="0" fontId="17" fillId="0" borderId="5" applyAlignment="1" pivotButton="0" quotePrefix="0" xfId="0">
      <alignment horizontal="left"/>
    </xf>
    <xf numFmtId="0" fontId="18" fillId="0" borderId="5" applyAlignment="1" pivotButton="0" quotePrefix="0" xfId="0">
      <alignment horizontal="center"/>
    </xf>
    <xf numFmtId="0" fontId="19" fillId="0" borderId="0" applyAlignment="1" pivotButton="0" quotePrefix="0" xfId="0">
      <alignment horizontal="left"/>
    </xf>
    <xf numFmtId="0" fontId="18" fillId="6" borderId="5" applyAlignment="1" pivotButton="0" quotePrefix="0" xfId="0">
      <alignment horizontal="right"/>
    </xf>
    <xf numFmtId="0" fontId="17" fillId="6" borderId="5" applyAlignment="1" pivotButton="0" quotePrefix="0" xfId="0">
      <alignment horizontal="center"/>
    </xf>
    <xf numFmtId="10" fontId="18" fillId="0" borderId="5" applyAlignment="1" pivotButton="0" quotePrefix="0" xfId="0">
      <alignment horizontal="center"/>
    </xf>
    <xf numFmtId="0" fontId="18" fillId="0" borderId="5" applyAlignment="1" pivotButton="0" quotePrefix="0" xfId="0">
      <alignment horizontal="center"/>
    </xf>
    <xf numFmtId="0" fontId="18" fillId="0" borderId="5" applyAlignment="1" pivotButton="0" quotePrefix="0" xfId="0">
      <alignment horizontal="left"/>
    </xf>
    <xf numFmtId="0" fontId="20" fillId="0" borderId="0" applyAlignment="1" pivotButton="0" quotePrefix="0" xfId="0">
      <alignment horizontal="left"/>
    </xf>
    <xf numFmtId="0" fontId="17" fillId="0" borderId="0" applyAlignment="1" pivotButton="0" quotePrefix="0" xfId="0">
      <alignment horizontal="left"/>
    </xf>
    <xf numFmtId="0" fontId="1" fillId="7" borderId="0" pivotButton="0" quotePrefix="0" xfId="0"/>
    <xf numFmtId="164" fontId="1" fillId="7" borderId="0" pivotButton="0" quotePrefix="0" xfId="0"/>
    <xf numFmtId="165" fontId="1" fillId="0" borderId="0" pivotButton="0" quotePrefix="0" xfId="0"/>
    <xf numFmtId="0" fontId="21" fillId="0" borderId="0" applyAlignment="1" pivotButton="0" quotePrefix="0" xfId="0">
      <alignment horizontal="center"/>
    </xf>
    <xf numFmtId="0" fontId="21" fillId="0" borderId="0" pivotButton="0" quotePrefix="0" xfId="0"/>
    <xf numFmtId="0" fontId="22" fillId="0" borderId="6" applyAlignment="1" pivotButton="0" quotePrefix="0" xfId="0">
      <alignment horizontal="right"/>
    </xf>
    <xf numFmtId="0" fontId="1" fillId="0" borderId="7" applyAlignment="1" pivotButton="0" quotePrefix="0" xfId="0">
      <alignment vertical="bottom"/>
    </xf>
    <xf numFmtId="3" fontId="1" fillId="8" borderId="0" applyAlignment="1" pivotButton="0" quotePrefix="0" xfId="0">
      <alignment horizontal="center" vertical="bottom"/>
    </xf>
    <xf numFmtId="0" fontId="22" fillId="0" borderId="7" applyAlignment="1" pivotButton="0" quotePrefix="0" xfId="0">
      <alignment wrapText="1"/>
    </xf>
    <xf numFmtId="0" fontId="10" fillId="0" borderId="8" pivotButton="0" quotePrefix="0" xfId="0"/>
    <xf numFmtId="3" fontId="5" fillId="0" borderId="0" applyAlignment="1" pivotButton="0" quotePrefix="0" xfId="0">
      <alignment horizontal="right"/>
    </xf>
    <xf numFmtId="3" fontId="1" fillId="9" borderId="0" applyAlignment="1" pivotButton="0" quotePrefix="0" xfId="0">
      <alignment horizontal="center" vertical="bottom"/>
    </xf>
    <xf numFmtId="0" fontId="23" fillId="7" borderId="6" applyAlignment="1" pivotButton="0" quotePrefix="0" xfId="0">
      <alignment horizontal="center" wrapText="1"/>
    </xf>
    <xf numFmtId="3" fontId="1" fillId="10" borderId="0" applyAlignment="1" pivotButton="0" quotePrefix="0" xfId="0">
      <alignment horizontal="center" vertical="bottom"/>
    </xf>
    <xf numFmtId="0" fontId="10" fillId="0" borderId="7" pivotButton="0" quotePrefix="0" xfId="0"/>
    <xf numFmtId="0" fontId="10" fillId="0" borderId="9" pivotButton="0" quotePrefix="0" xfId="0"/>
    <xf numFmtId="0" fontId="1" fillId="0" borderId="10" applyAlignment="1" pivotButton="0" quotePrefix="0" xfId="0">
      <alignment vertical="bottom"/>
    </xf>
    <xf numFmtId="0" fontId="10" fillId="0" borderId="10" pivotButton="0" quotePrefix="0" xfId="0"/>
    <xf numFmtId="0" fontId="5" fillId="0" borderId="0" applyAlignment="1" pivotButton="0" quotePrefix="0" xfId="0">
      <alignment horizontal="right"/>
    </xf>
    <xf numFmtId="0" fontId="10" fillId="0" borderId="11" pivotButton="0" quotePrefix="0" xfId="0"/>
    <xf numFmtId="0" fontId="21" fillId="0" borderId="0" applyAlignment="1" pivotButton="0" quotePrefix="0" xfId="0">
      <alignment horizontal="right"/>
    </xf>
    <xf numFmtId="3" fontId="21" fillId="0" borderId="0" applyAlignment="1" pivotButton="0" quotePrefix="0" xfId="0">
      <alignment horizontal="right"/>
    </xf>
    <xf numFmtId="0" fontId="1" fillId="8" borderId="0" applyAlignment="1" pivotButton="0" quotePrefix="0" xfId="0">
      <alignment horizontal="center" vertical="bottom"/>
    </xf>
    <xf numFmtId="0" fontId="1" fillId="9" borderId="0" applyAlignment="1" pivotButton="0" quotePrefix="0" xfId="0">
      <alignment horizontal="center" vertical="bottom"/>
    </xf>
    <xf numFmtId="0" fontId="1" fillId="10" borderId="0" applyAlignment="1" pivotButton="0" quotePrefix="0" xfId="0">
      <alignment horizontal="center" vertical="bottom"/>
    </xf>
    <xf numFmtId="0" fontId="1" fillId="7" borderId="12" pivotButton="0" quotePrefix="0" xfId="0"/>
    <xf numFmtId="0" fontId="10" fillId="0" borderId="13" pivotButton="0" quotePrefix="0" xfId="0"/>
    <xf numFmtId="0" fontId="10" fillId="0" borderId="14" pivotButton="0" quotePrefix="0" xfId="0"/>
    <xf numFmtId="0" fontId="24" fillId="7" borderId="12" applyAlignment="1" pivotButton="0" quotePrefix="0" xfId="0">
      <alignment wrapText="1"/>
    </xf>
    <xf numFmtId="166" fontId="1" fillId="7" borderId="0" pivotButton="0" quotePrefix="0" xfId="0"/>
    <xf numFmtId="3" fontId="1" fillId="11" borderId="0" applyAlignment="1" pivotButton="0" quotePrefix="0" xfId="0">
      <alignment horizontal="center" vertical="bottom"/>
    </xf>
    <xf numFmtId="0" fontId="25" fillId="7" borderId="15" applyAlignment="1" pivotButton="0" quotePrefix="0" xfId="0">
      <alignment horizontal="center" wrapText="1"/>
    </xf>
    <xf numFmtId="3" fontId="1" fillId="12" borderId="0" applyAlignment="1" pivotButton="0" quotePrefix="0" xfId="0">
      <alignment horizontal="center" vertical="bottom"/>
    </xf>
    <xf numFmtId="3" fontId="1" fillId="13" borderId="0" applyAlignment="1" pivotButton="0" quotePrefix="0" xfId="0">
      <alignment horizontal="center" vertical="bottom"/>
    </xf>
    <xf numFmtId="3" fontId="5" fillId="0" borderId="0" pivotButton="0" quotePrefix="0" xfId="0"/>
    <xf numFmtId="3" fontId="1" fillId="14" borderId="0" applyAlignment="1" pivotButton="0" quotePrefix="0" xfId="0">
      <alignment horizontal="center" vertical="bottom"/>
    </xf>
    <xf numFmtId="164" fontId="24" fillId="7" borderId="16" applyAlignment="1" pivotButton="0" quotePrefix="0" xfId="0">
      <alignment wrapText="1"/>
    </xf>
    <xf numFmtId="0" fontId="10" fillId="0" borderId="17" pivotButton="0" quotePrefix="0" xfId="0"/>
    <xf numFmtId="0" fontId="10" fillId="0" borderId="18" pivotButton="0" quotePrefix="0" xfId="0"/>
    <xf numFmtId="3" fontId="1" fillId="15" borderId="0" applyAlignment="1" pivotButton="0" quotePrefix="0" xfId="0">
      <alignment horizontal="center" vertical="bottom"/>
    </xf>
    <xf numFmtId="3" fontId="1" fillId="16" borderId="0" applyAlignment="1" pivotButton="0" quotePrefix="0" xfId="0">
      <alignment horizontal="center" vertical="bottom"/>
    </xf>
    <xf numFmtId="3" fontId="1" fillId="17" borderId="0" applyAlignment="1" pivotButton="0" quotePrefix="0" xfId="0">
      <alignment horizontal="center" vertical="bottom"/>
    </xf>
    <xf numFmtId="3" fontId="1" fillId="18" borderId="0" applyAlignment="1" pivotButton="0" quotePrefix="0" xfId="0">
      <alignment horizontal="center" vertical="bottom"/>
    </xf>
    <xf numFmtId="3" fontId="1" fillId="19" borderId="0" applyAlignment="1" pivotButton="0" quotePrefix="0" xfId="0">
      <alignment horizontal="center" vertical="bottom"/>
    </xf>
    <xf numFmtId="3" fontId="1" fillId="20" borderId="0" applyAlignment="1" pivotButton="0" quotePrefix="0" xfId="0">
      <alignment horizontal="center" vertical="bottom"/>
    </xf>
    <xf numFmtId="0" fontId="18" fillId="0" borderId="0" applyAlignment="1" pivotButton="0" quotePrefix="0" xfId="0">
      <alignment vertical="bottom"/>
    </xf>
    <xf numFmtId="3" fontId="1" fillId="21" borderId="0" applyAlignment="1" pivotButton="0" quotePrefix="0" xfId="0">
      <alignment horizontal="center" vertical="bottom"/>
    </xf>
    <xf numFmtId="3" fontId="1" fillId="22" borderId="0" applyAlignment="1" pivotButton="0" quotePrefix="0" xfId="0">
      <alignment horizontal="center" vertical="bottom"/>
    </xf>
    <xf numFmtId="3" fontId="1" fillId="23" borderId="0" applyAlignment="1" pivotButton="0" quotePrefix="0" xfId="0">
      <alignment horizontal="center" vertical="bottom"/>
    </xf>
    <xf numFmtId="3" fontId="1" fillId="24" borderId="0" applyAlignment="1" pivotButton="0" quotePrefix="0" xfId="0">
      <alignment horizontal="center" vertical="bottom"/>
    </xf>
    <xf numFmtId="3" fontId="1" fillId="25" borderId="0" applyAlignment="1" pivotButton="0" quotePrefix="0" xfId="0">
      <alignment horizontal="center" vertical="bottom"/>
    </xf>
    <xf numFmtId="3" fontId="1" fillId="26" borderId="0" applyAlignment="1" pivotButton="0" quotePrefix="0" xfId="0">
      <alignment horizontal="center" vertical="bottom"/>
    </xf>
    <xf numFmtId="9" fontId="26" fillId="0" borderId="14" applyAlignment="1" pivotButton="0" quotePrefix="0" xfId="0">
      <alignment horizontal="center" wrapText="1"/>
    </xf>
    <xf numFmtId="3" fontId="1" fillId="27" borderId="0" applyAlignment="1" pivotButton="0" quotePrefix="0" xfId="0">
      <alignment horizontal="center" vertical="bottom"/>
    </xf>
    <xf numFmtId="3" fontId="1" fillId="28" borderId="0" applyAlignment="1" pivotButton="0" quotePrefix="0" xfId="0">
      <alignment horizontal="center" vertical="bottom"/>
    </xf>
    <xf numFmtId="3" fontId="1" fillId="29" borderId="0" applyAlignment="1" pivotButton="0" quotePrefix="0" xfId="0">
      <alignment horizontal="center" vertical="bottom"/>
    </xf>
    <xf numFmtId="0" fontId="27" fillId="7" borderId="12" applyAlignment="1" pivotButton="0" quotePrefix="0" xfId="0">
      <alignment wrapText="1"/>
    </xf>
    <xf numFmtId="3" fontId="1" fillId="30" borderId="0" applyAlignment="1" pivotButton="0" quotePrefix="0" xfId="0">
      <alignment horizontal="center" vertical="bottom"/>
    </xf>
    <xf numFmtId="3" fontId="1" fillId="31" borderId="0" applyAlignment="1" pivotButton="0" quotePrefix="0" xfId="0">
      <alignment horizontal="center" vertical="bottom"/>
    </xf>
    <xf numFmtId="3" fontId="1" fillId="32" borderId="0" applyAlignment="1" pivotButton="0" quotePrefix="0" xfId="0">
      <alignment horizontal="center" vertical="bottom"/>
    </xf>
    <xf numFmtId="3" fontId="1" fillId="33" borderId="0" applyAlignment="1" pivotButton="0" quotePrefix="0" xfId="0">
      <alignment horizontal="center" vertical="bottom"/>
    </xf>
    <xf numFmtId="3" fontId="5" fillId="0" borderId="0" applyAlignment="1" pivotButton="0" quotePrefix="0" xfId="0">
      <alignment horizontal="left"/>
    </xf>
    <xf numFmtId="3" fontId="1" fillId="34" borderId="0" applyAlignment="1" pivotButton="0" quotePrefix="0" xfId="0">
      <alignment horizontal="center" vertical="bottom"/>
    </xf>
    <xf numFmtId="3" fontId="1" fillId="35" borderId="0" applyAlignment="1" pivotButton="0" quotePrefix="0" xfId="0">
      <alignment horizontal="center" vertical="bottom"/>
    </xf>
    <xf numFmtId="3" fontId="5" fillId="0" borderId="0" pivotButton="0" quotePrefix="0" xfId="0"/>
    <xf numFmtId="3" fontId="1" fillId="36" borderId="0" applyAlignment="1" pivotButton="0" quotePrefix="0" xfId="0">
      <alignment horizontal="center" vertical="bottom"/>
    </xf>
    <xf numFmtId="3" fontId="1" fillId="37" borderId="0" applyAlignment="1" pivotButton="0" quotePrefix="0" xfId="0">
      <alignment horizontal="center" vertical="bottom"/>
    </xf>
    <xf numFmtId="3" fontId="1" fillId="38" borderId="0" applyAlignment="1" pivotButton="0" quotePrefix="0" xfId="0">
      <alignment horizontal="center" vertical="bottom"/>
    </xf>
    <xf numFmtId="0" fontId="1" fillId="39" borderId="0" applyAlignment="1" pivotButton="0" quotePrefix="0" xfId="0">
      <alignment horizontal="center" vertical="bottom"/>
    </xf>
    <xf numFmtId="3" fontId="1" fillId="40" borderId="0" applyAlignment="1" pivotButton="0" quotePrefix="0" xfId="0">
      <alignment horizontal="center" vertical="bottom"/>
    </xf>
    <xf numFmtId="3" fontId="1" fillId="41" borderId="0" applyAlignment="1" pivotButton="0" quotePrefix="0" xfId="0">
      <alignment horizontal="center" vertical="bottom"/>
    </xf>
    <xf numFmtId="0" fontId="1" fillId="7" borderId="0" applyAlignment="1" pivotButton="0" quotePrefix="0" xfId="0">
      <alignment vertical="bottom"/>
    </xf>
    <xf numFmtId="10" fontId="5" fillId="0" borderId="0" pivotButton="0" quotePrefix="0" xfId="0"/>
    <xf numFmtId="0" fontId="1" fillId="0" borderId="0" pivotButton="0" quotePrefix="0" xfId="0"/>
    <xf numFmtId="0" fontId="1" fillId="42" borderId="0" applyAlignment="1" pivotButton="0" quotePrefix="0" xfId="0">
      <alignment horizontal="center" vertical="bottom"/>
    </xf>
    <xf numFmtId="0" fontId="1" fillId="43" borderId="0" applyAlignment="1" pivotButton="0" quotePrefix="0" xfId="0">
      <alignment horizontal="center" vertical="bottom"/>
    </xf>
    <xf numFmtId="3" fontId="1" fillId="44" borderId="0" applyAlignment="1" pivotButton="0" quotePrefix="0" xfId="0">
      <alignment horizontal="center" vertical="bottom"/>
    </xf>
    <xf numFmtId="0" fontId="28" fillId="45" borderId="19" applyAlignment="1" pivotButton="0" quotePrefix="0" xfId="0">
      <alignment horizontal="center" wrapText="1"/>
    </xf>
    <xf numFmtId="0" fontId="1" fillId="12" borderId="0" applyAlignment="1" pivotButton="0" quotePrefix="0" xfId="0">
      <alignment horizontal="center" vertical="bottom"/>
    </xf>
    <xf numFmtId="0" fontId="10" fillId="0" borderId="20" pivotButton="0" quotePrefix="0" xfId="0"/>
    <xf numFmtId="3" fontId="1" fillId="46" borderId="0" applyAlignment="1" pivotButton="0" quotePrefix="0" xfId="0">
      <alignment horizontal="center" vertical="bottom"/>
    </xf>
    <xf numFmtId="0" fontId="1" fillId="47" borderId="0" applyAlignment="1" pivotButton="0" quotePrefix="0" xfId="0">
      <alignment horizontal="center" vertical="bottom"/>
    </xf>
    <xf numFmtId="0" fontId="1" fillId="48" borderId="0" applyAlignment="1" pivotButton="0" quotePrefix="0" xfId="0">
      <alignment horizontal="center" vertical="bottom"/>
    </xf>
    <xf numFmtId="0" fontId="1" fillId="49" borderId="0" applyAlignment="1" pivotButton="0" quotePrefix="0" xfId="0">
      <alignment horizontal="center" vertical="bottom"/>
    </xf>
    <xf numFmtId="0" fontId="1" fillId="26" borderId="0" applyAlignment="1" pivotButton="0" quotePrefix="0" xfId="0">
      <alignment horizontal="center" vertical="bottom"/>
    </xf>
    <xf numFmtId="0" fontId="1" fillId="50" borderId="0" applyAlignment="1" pivotButton="0" quotePrefix="0" xfId="0">
      <alignment horizontal="center" vertical="bottom"/>
    </xf>
    <xf numFmtId="3" fontId="1" fillId="51" borderId="0" applyAlignment="1" pivotButton="0" quotePrefix="0" xfId="0">
      <alignment horizontal="center" vertical="bottom"/>
    </xf>
    <xf numFmtId="0" fontId="1" fillId="52" borderId="0" applyAlignment="1" pivotButton="0" quotePrefix="0" xfId="0">
      <alignment horizontal="center" vertical="bottom"/>
    </xf>
    <xf numFmtId="0" fontId="29" fillId="53" borderId="21" applyAlignment="1" pivotButton="0" quotePrefix="0" xfId="0">
      <alignment horizontal="center" wrapText="1"/>
    </xf>
    <xf numFmtId="0" fontId="1" fillId="54" borderId="0" applyAlignment="1" pivotButton="0" quotePrefix="0" xfId="0">
      <alignment horizontal="center" vertical="bottom"/>
    </xf>
    <xf numFmtId="0" fontId="29" fillId="53" borderId="22" applyAlignment="1" pivotButton="0" quotePrefix="0" xfId="0">
      <alignment horizontal="center" wrapText="1"/>
    </xf>
    <xf numFmtId="0" fontId="10" fillId="0" borderId="23" pivotButton="0" quotePrefix="0" xfId="0"/>
    <xf numFmtId="0" fontId="1" fillId="55" borderId="0" applyAlignment="1" pivotButton="0" quotePrefix="0" xfId="0">
      <alignment horizontal="center" vertical="bottom"/>
    </xf>
    <xf numFmtId="0" fontId="1" fillId="53" borderId="21" pivotButton="0" quotePrefix="0" xfId="0"/>
    <xf numFmtId="0" fontId="1" fillId="56" borderId="0" applyAlignment="1" pivotButton="0" quotePrefix="0" xfId="0">
      <alignment horizontal="center" vertical="bottom"/>
    </xf>
    <xf numFmtId="164" fontId="29" fillId="53" borderId="21" applyAlignment="1" pivotButton="0" quotePrefix="0" xfId="0">
      <alignment horizontal="center" wrapText="1"/>
    </xf>
    <xf numFmtId="0" fontId="1" fillId="57" borderId="0" applyAlignment="1" pivotButton="0" quotePrefix="0" xfId="0">
      <alignment horizontal="center" vertical="bottom"/>
    </xf>
    <xf numFmtId="0" fontId="29" fillId="53" borderId="9" applyAlignment="1" pivotButton="0" quotePrefix="0" xfId="0">
      <alignment horizontal="center" wrapText="1"/>
    </xf>
    <xf numFmtId="0" fontId="1" fillId="58" borderId="0" applyAlignment="1" pivotButton="0" quotePrefix="0" xfId="0">
      <alignment horizontal="center" vertical="bottom"/>
    </xf>
    <xf numFmtId="0" fontId="1" fillId="59" borderId="0" applyAlignment="1" pivotButton="0" quotePrefix="0" xfId="0">
      <alignment horizontal="center" vertical="bottom"/>
    </xf>
    <xf numFmtId="0" fontId="30" fillId="60" borderId="16" pivotButton="0" quotePrefix="0" xfId="0"/>
    <xf numFmtId="0" fontId="1" fillId="61" borderId="0" applyAlignment="1" pivotButton="0" quotePrefix="0" xfId="0">
      <alignment horizontal="center" vertical="bottom"/>
    </xf>
    <xf numFmtId="0" fontId="1" fillId="60" borderId="17" pivotButton="0" quotePrefix="0" xfId="0"/>
    <xf numFmtId="0" fontId="1" fillId="62" borderId="0" applyAlignment="1" pivotButton="0" quotePrefix="0" xfId="0">
      <alignment horizontal="center" vertical="bottom"/>
    </xf>
    <xf numFmtId="0" fontId="1" fillId="63" borderId="0" applyAlignment="1" pivotButton="0" quotePrefix="0" xfId="0">
      <alignment horizontal="center" vertical="bottom"/>
    </xf>
    <xf numFmtId="167" fontId="1" fillId="60" borderId="17" pivotButton="0" quotePrefix="0" xfId="0"/>
    <xf numFmtId="0" fontId="1" fillId="64" borderId="0" applyAlignment="1" pivotButton="0" quotePrefix="0" xfId="0">
      <alignment horizontal="center" vertical="bottom"/>
    </xf>
    <xf numFmtId="0" fontId="1" fillId="65" borderId="0" applyAlignment="1" pivotButton="0" quotePrefix="0" xfId="0">
      <alignment horizontal="center" vertical="bottom"/>
    </xf>
    <xf numFmtId="0" fontId="1" fillId="66" borderId="0" applyAlignment="1" pivotButton="0" quotePrefix="0" xfId="0">
      <alignment horizontal="center" vertical="bottom"/>
    </xf>
    <xf numFmtId="0" fontId="1" fillId="67" borderId="0" applyAlignment="1" pivotButton="0" quotePrefix="0" xfId="0">
      <alignment horizontal="center" vertical="bottom"/>
    </xf>
    <xf numFmtId="0" fontId="1" fillId="68" borderId="0" applyAlignment="1" pivotButton="0" quotePrefix="0" xfId="0">
      <alignment horizontal="center" vertical="bottom"/>
    </xf>
    <xf numFmtId="0" fontId="1" fillId="69" borderId="0" applyAlignment="1" pivotButton="0" quotePrefix="0" xfId="0">
      <alignment horizontal="center" vertical="bottom"/>
    </xf>
    <xf numFmtId="9" fontId="31" fillId="60" borderId="24" applyAlignment="1" pivotButton="0" quotePrefix="0" xfId="0">
      <alignment horizontal="center" wrapText="1"/>
    </xf>
    <xf numFmtId="0" fontId="1" fillId="70" borderId="0" applyAlignment="1" pivotButton="0" quotePrefix="0" xfId="0">
      <alignment horizontal="center" vertical="bottom"/>
    </xf>
    <xf numFmtId="9" fontId="1" fillId="60" borderId="11" pivotButton="0" quotePrefix="0" xfId="0"/>
    <xf numFmtId="0" fontId="1" fillId="71" borderId="0" applyAlignment="1" pivotButton="0" quotePrefix="0" xfId="0">
      <alignment horizontal="center" vertical="bottom"/>
    </xf>
    <xf numFmtId="0" fontId="1" fillId="72" borderId="0" applyAlignment="1" pivotButton="0" quotePrefix="0" xfId="0">
      <alignment horizontal="center" vertical="bottom"/>
    </xf>
    <xf numFmtId="9" fontId="5" fillId="0" borderId="0" applyAlignment="1" pivotButton="0" quotePrefix="0" xfId="0">
      <alignment horizontal="right"/>
    </xf>
    <xf numFmtId="0" fontId="1" fillId="73" borderId="0" applyAlignment="1" pivotButton="0" quotePrefix="0" xfId="0">
      <alignment horizontal="center" vertical="bottom"/>
    </xf>
    <xf numFmtId="0" fontId="1" fillId="74" borderId="0" applyAlignment="1" pivotButton="0" quotePrefix="0" xfId="0">
      <alignment horizontal="center" vertical="bottom"/>
    </xf>
    <xf numFmtId="0" fontId="1" fillId="75" borderId="0" applyAlignment="1" pivotButton="0" quotePrefix="0" xfId="0">
      <alignment horizontal="center" vertical="bottom"/>
    </xf>
    <xf numFmtId="0" fontId="1" fillId="0" borderId="25" pivotButton="0" quotePrefix="0" xfId="0"/>
    <xf numFmtId="10" fontId="5" fillId="0" borderId="0" applyAlignment="1" pivotButton="0" quotePrefix="0" xfId="0">
      <alignment horizontal="right"/>
    </xf>
    <xf numFmtId="0" fontId="1" fillId="16" borderId="0" applyAlignment="1" pivotButton="0" quotePrefix="0" xfId="0">
      <alignment horizontal="center" vertical="bottom"/>
    </xf>
    <xf numFmtId="0" fontId="1" fillId="76" borderId="0" applyAlignment="1" pivotButton="0" quotePrefix="0" xfId="0">
      <alignment horizontal="center" vertical="bottom"/>
    </xf>
    <xf numFmtId="167" fontId="1" fillId="0" borderId="25" pivotButton="0" quotePrefix="0" xfId="0"/>
    <xf numFmtId="0" fontId="1" fillId="77" borderId="0" applyAlignment="1" pivotButton="0" quotePrefix="0" xfId="0">
      <alignment horizontal="center" vertical="bottom"/>
    </xf>
    <xf numFmtId="3" fontId="1" fillId="0" borderId="25" pivotButton="0" quotePrefix="0" xfId="0"/>
    <xf numFmtId="0" fontId="1" fillId="78" borderId="0" applyAlignment="1" pivotButton="0" quotePrefix="0" xfId="0">
      <alignment horizontal="center" vertical="bottom"/>
    </xf>
    <xf numFmtId="0" fontId="5" fillId="0" borderId="0" applyAlignment="1" pivotButton="0" quotePrefix="0" xfId="0">
      <alignment horizontal="center"/>
    </xf>
    <xf numFmtId="0" fontId="1" fillId="79" borderId="0" applyAlignment="1" pivotButton="0" quotePrefix="0" xfId="0">
      <alignment horizontal="center" vertical="bottom"/>
    </xf>
    <xf numFmtId="10" fontId="1" fillId="26" borderId="0" applyAlignment="1" pivotButton="0" quotePrefix="0" xfId="0">
      <alignment horizontal="center" vertical="bottom"/>
    </xf>
    <xf numFmtId="10" fontId="1" fillId="8" borderId="0" applyAlignment="1" pivotButton="0" quotePrefix="0" xfId="0">
      <alignment horizontal="center" vertical="bottom"/>
    </xf>
    <xf numFmtId="10" fontId="1" fillId="80" borderId="0" applyAlignment="1" pivotButton="0" quotePrefix="0" xfId="0">
      <alignment horizontal="center" vertical="bottom"/>
    </xf>
    <xf numFmtId="0" fontId="1" fillId="0" borderId="25" pivotButton="0" quotePrefix="0" xfId="0"/>
    <xf numFmtId="10" fontId="1" fillId="81" borderId="0" applyAlignment="1" pivotButton="0" quotePrefix="0" xfId="0">
      <alignment horizontal="center" vertical="bottom"/>
    </xf>
    <xf numFmtId="10" fontId="1" fillId="82" borderId="0" applyAlignment="1" pivotButton="0" quotePrefix="0" xfId="0">
      <alignment horizontal="center" vertical="bottom"/>
    </xf>
    <xf numFmtId="10" fontId="1" fillId="10" borderId="0" applyAlignment="1" pivotButton="0" quotePrefix="0" xfId="0">
      <alignment horizontal="center" vertical="bottom"/>
    </xf>
    <xf numFmtId="10" fontId="1" fillId="56" borderId="0" applyAlignment="1" pivotButton="0" quotePrefix="0" xfId="0">
      <alignment horizontal="center" vertical="bottom"/>
    </xf>
    <xf numFmtId="0" fontId="32" fillId="0" borderId="25" applyAlignment="1" pivotButton="0" quotePrefix="0" xfId="0">
      <alignment horizontal="right"/>
    </xf>
    <xf numFmtId="10" fontId="1" fillId="12" borderId="0" applyAlignment="1" pivotButton="0" quotePrefix="0" xfId="0">
      <alignment horizontal="center" vertical="bottom"/>
    </xf>
    <xf numFmtId="10" fontId="1" fillId="83" borderId="0" applyAlignment="1" pivotButton="0" quotePrefix="0" xfId="0">
      <alignment horizontal="center" vertical="bottom"/>
    </xf>
    <xf numFmtId="9" fontId="1" fillId="8" borderId="0" applyAlignment="1" pivotButton="0" quotePrefix="0" xfId="0">
      <alignment horizontal="center" vertical="bottom"/>
    </xf>
    <xf numFmtId="168" fontId="1" fillId="10" borderId="0" applyAlignment="1" pivotButton="0" quotePrefix="0" xfId="0">
      <alignment horizontal="center" vertical="bottom"/>
    </xf>
    <xf numFmtId="10" fontId="1" fillId="84" borderId="0" applyAlignment="1" pivotButton="0" quotePrefix="0" xfId="0">
      <alignment horizontal="center" vertical="bottom"/>
    </xf>
    <xf numFmtId="168" fontId="1" fillId="9" borderId="0" applyAlignment="1" pivotButton="0" quotePrefix="0" xfId="0">
      <alignment horizontal="center" vertical="bottom"/>
    </xf>
    <xf numFmtId="10" fontId="1" fillId="85" borderId="0" applyAlignment="1" pivotButton="0" quotePrefix="0" xfId="0">
      <alignment horizontal="center" vertical="bottom"/>
    </xf>
    <xf numFmtId="10" fontId="1" fillId="86" borderId="0" applyAlignment="1" pivotButton="0" quotePrefix="0" xfId="0">
      <alignment horizontal="center" vertical="bottom"/>
    </xf>
    <xf numFmtId="10" fontId="1" fillId="9" borderId="0" applyAlignment="1" pivotButton="0" quotePrefix="0" xfId="0">
      <alignment horizontal="center" vertical="bottom"/>
    </xf>
    <xf numFmtId="10" fontId="1" fillId="87" borderId="0" applyAlignment="1" pivotButton="0" quotePrefix="0" xfId="0">
      <alignment horizontal="center" vertical="bottom"/>
    </xf>
    <xf numFmtId="10" fontId="1" fillId="88" borderId="0" applyAlignment="1" pivotButton="0" quotePrefix="0" xfId="0">
      <alignment horizontal="center" vertical="bottom"/>
    </xf>
    <xf numFmtId="9" fontId="33" fillId="0" borderId="25" applyAlignment="1" pivotButton="0" quotePrefix="0" xfId="0">
      <alignment horizontal="center" wrapText="1"/>
    </xf>
    <xf numFmtId="10" fontId="1" fillId="89" borderId="0" applyAlignment="1" pivotButton="0" quotePrefix="0" xfId="0">
      <alignment horizontal="center" vertical="bottom"/>
    </xf>
    <xf numFmtId="9" fontId="1" fillId="10" borderId="0" applyAlignment="1" pivotButton="0" quotePrefix="0" xfId="0">
      <alignment horizontal="center" vertical="bottom"/>
    </xf>
    <xf numFmtId="10" fontId="1" fillId="90" borderId="0" applyAlignment="1" pivotButton="0" quotePrefix="0" xfId="0">
      <alignment horizontal="center" vertical="bottom"/>
    </xf>
    <xf numFmtId="0" fontId="6" fillId="2" borderId="26" applyAlignment="1" pivotButton="0" quotePrefix="0" xfId="0">
      <alignment horizontal="left"/>
    </xf>
    <xf numFmtId="0" fontId="6" fillId="2" borderId="26" applyAlignment="1" pivotButton="0" quotePrefix="0" xfId="0">
      <alignment horizontal="left"/>
    </xf>
    <xf numFmtId="0" fontId="8" fillId="0" borderId="26" applyAlignment="1" pivotButton="0" quotePrefix="0" xfId="0">
      <alignment horizontal="left"/>
    </xf>
    <xf numFmtId="0" fontId="1" fillId="0" borderId="27" applyAlignment="1" pivotButton="0" quotePrefix="0" xfId="0">
      <alignment horizontal="left"/>
    </xf>
    <xf numFmtId="0" fontId="10" fillId="0" borderId="28" pivotButton="0" quotePrefix="0" xfId="0"/>
    <xf numFmtId="0" fontId="10" fillId="0" borderId="29" pivotButton="0" quotePrefix="0" xfId="0"/>
    <xf numFmtId="9" fontId="1" fillId="0" borderId="25" pivotButton="0" quotePrefix="0" xfId="0"/>
    <xf numFmtId="0" fontId="9" fillId="3" borderId="26" applyAlignment="1" pivotButton="0" quotePrefix="0" xfId="0">
      <alignment horizontal="center"/>
    </xf>
    <xf numFmtId="3" fontId="1" fillId="0" borderId="26" applyAlignment="1" pivotButton="0" quotePrefix="0" xfId="0">
      <alignment horizontal="center"/>
    </xf>
    <xf numFmtId="0" fontId="1" fillId="0" borderId="26" applyAlignment="1" pivotButton="0" quotePrefix="0" xfId="0">
      <alignment horizontal="center"/>
    </xf>
    <xf numFmtId="0" fontId="8" fillId="0" borderId="26" applyAlignment="1" pivotButton="0" quotePrefix="0" xfId="0">
      <alignment horizontal="center"/>
    </xf>
    <xf numFmtId="10" fontId="1" fillId="0" borderId="26" applyAlignment="1" pivotButton="0" quotePrefix="0" xfId="0">
      <alignment horizontal="center"/>
    </xf>
    <xf numFmtId="9" fontId="1" fillId="60" borderId="18" pivotButton="0" quotePrefix="0" xfId="0"/>
    <xf numFmtId="0" fontId="9" fillId="3" borderId="26" applyAlignment="1" pivotButton="0" quotePrefix="0" xfId="0">
      <alignment horizontal="center"/>
    </xf>
    <xf numFmtId="0" fontId="14" fillId="0" borderId="26" applyAlignment="1" pivotButton="0" quotePrefix="0" xfId="0">
      <alignment horizontal="center"/>
    </xf>
    <xf numFmtId="0" fontId="1" fillId="0" borderId="26" applyAlignment="1" pivotButton="0" quotePrefix="0" xfId="0">
      <alignment horizontal="left"/>
    </xf>
    <xf numFmtId="0" fontId="34" fillId="0" borderId="26" applyAlignment="1" pivotButton="0" quotePrefix="0" xfId="0">
      <alignment horizontal="center"/>
    </xf>
    <xf numFmtId="0" fontId="1" fillId="0" borderId="26" applyAlignment="1" pivotButton="0" quotePrefix="0" xfId="0">
      <alignment horizontal="left"/>
    </xf>
    <xf numFmtId="0" fontId="35" fillId="0" borderId="0" applyAlignment="1" pivotButton="0" quotePrefix="0" xfId="0">
      <alignment vertical="top" wrapText="1"/>
    </xf>
    <xf numFmtId="0" fontId="30" fillId="60" borderId="25" pivotButton="0" quotePrefix="0" xfId="0"/>
    <xf numFmtId="0" fontId="1" fillId="60" borderId="25" pivotButton="0" quotePrefix="0" xfId="0"/>
    <xf numFmtId="167" fontId="1" fillId="60" borderId="25" pivotButton="0" quotePrefix="0" xfId="0"/>
    <xf numFmtId="9" fontId="31" fillId="60" borderId="25" applyAlignment="1" pivotButton="0" quotePrefix="0" xfId="0">
      <alignment horizontal="center" wrapText="1"/>
    </xf>
    <xf numFmtId="9" fontId="1" fillId="60" borderId="25" pivotButton="0" quotePrefix="0" xfId="0"/>
    <xf numFmtId="0" fontId="0" fillId="0" borderId="0" pivotButton="0" quotePrefix="0" xfId="0"/>
    <xf numFmtId="0" fontId="1" fillId="0" borderId="1" applyAlignment="1" pivotButton="0" quotePrefix="0" xfId="0">
      <alignment horizontal="left"/>
    </xf>
    <xf numFmtId="0" fontId="0" fillId="0" borderId="3" pivotButton="0" quotePrefix="0" xfId="0"/>
    <xf numFmtId="0" fontId="0" fillId="0" borderId="4" pivotButton="0" quotePrefix="0" xfId="0"/>
    <xf numFmtId="0" fontId="36" fillId="0" borderId="0" pivotButton="0" quotePrefix="0" xfId="0"/>
    <xf numFmtId="0" fontId="37" fillId="0" borderId="0" pivotButton="0" quotePrefix="0" xfId="0"/>
    <xf numFmtId="0" fontId="38" fillId="91" borderId="38" applyAlignment="1" pivotButton="0" quotePrefix="0" xfId="0">
      <alignment horizontal="center" vertical="center" wrapText="1"/>
    </xf>
    <xf numFmtId="0" fontId="39" fillId="92" borderId="38" applyAlignment="1" pivotButton="0" quotePrefix="0" xfId="0">
      <alignment horizontal="center" vertical="center" wrapText="1"/>
    </xf>
    <xf numFmtId="0" fontId="40" fillId="92" borderId="38" applyAlignment="1" pivotButton="0" quotePrefix="0" xfId="0">
      <alignment horizontal="center" vertical="center" wrapText="1"/>
    </xf>
    <xf numFmtId="3" fontId="40" fillId="92" borderId="38" applyAlignment="1" pivotButton="0" quotePrefix="0" xfId="0">
      <alignment horizontal="right" vertical="center"/>
    </xf>
    <xf numFmtId="169" fontId="40" fillId="92" borderId="38" applyAlignment="1" pivotButton="0" quotePrefix="0" xfId="0">
      <alignment horizontal="right" vertical="center"/>
    </xf>
    <xf numFmtId="170" fontId="40" fillId="92" borderId="38" applyAlignment="1" pivotButton="0" quotePrefix="0" xfId="0">
      <alignment horizontal="right" vertical="center"/>
    </xf>
    <xf numFmtId="171" fontId="40" fillId="92" borderId="38" applyAlignment="1" pivotButton="0" quotePrefix="0" xfId="0">
      <alignment horizontal="right" vertical="center"/>
    </xf>
    <xf numFmtId="0" fontId="39" fillId="0" borderId="38" applyAlignment="1" pivotButton="0" quotePrefix="0" xfId="0">
      <alignment horizontal="center" vertical="center" wrapText="1"/>
    </xf>
    <xf numFmtId="0" fontId="40" fillId="0" borderId="38" applyAlignment="1" pivotButton="0" quotePrefix="0" xfId="0">
      <alignment horizontal="center" vertical="center" wrapText="1"/>
    </xf>
    <xf numFmtId="3" fontId="40" fillId="0" borderId="38" applyAlignment="1" pivotButton="0" quotePrefix="0" xfId="0">
      <alignment horizontal="right" vertical="center"/>
    </xf>
    <xf numFmtId="169" fontId="40" fillId="0" borderId="38" applyAlignment="1" pivotButton="0" quotePrefix="0" xfId="0">
      <alignment horizontal="right" vertical="center"/>
    </xf>
    <xf numFmtId="170" fontId="40" fillId="0" borderId="38" applyAlignment="1" pivotButton="0" quotePrefix="0" xfId="0">
      <alignment horizontal="right" vertical="center"/>
    </xf>
    <xf numFmtId="171" fontId="40" fillId="0" borderId="38" applyAlignment="1" pivotButton="0" quotePrefix="0" xfId="0">
      <alignment horizontal="right" vertical="center"/>
    </xf>
    <xf numFmtId="0" fontId="41" fillId="0" borderId="0" applyAlignment="1" pivotButton="0" quotePrefix="0" xfId="0">
      <alignment horizontal="left" vertical="center" wrapText="1"/>
    </xf>
    <xf numFmtId="0" fontId="39" fillId="0" borderId="38" applyAlignment="1" pivotButton="0" quotePrefix="0" xfId="0">
      <alignment horizontal="left" vertical="center" wrapText="1"/>
    </xf>
    <xf numFmtId="172" fontId="40" fillId="0" borderId="38" applyAlignment="1" pivotButton="0" quotePrefix="0" xfId="0">
      <alignment horizontal="center" vertical="center" wrapText="1"/>
    </xf>
    <xf numFmtId="168" fontId="40" fillId="0" borderId="38" applyAlignment="1" pivotButton="0" quotePrefix="0" xfId="0">
      <alignment horizontal="right" vertical="center"/>
    </xf>
    <xf numFmtId="173" fontId="40" fillId="0" borderId="38" applyAlignment="1" pivotButton="0" quotePrefix="0" xfId="0">
      <alignment horizontal="center" vertical="center" wrapText="1"/>
    </xf>
    <xf numFmtId="0" fontId="42" fillId="0" borderId="0" applyAlignment="1" pivotButton="0" quotePrefix="0" xfId="0">
      <alignment horizontal="left" vertical="center" wrapText="1"/>
    </xf>
    <xf numFmtId="0" fontId="22" fillId="0" borderId="16" applyAlignment="1" pivotButton="0" quotePrefix="0" xfId="0">
      <alignment horizontal="right"/>
    </xf>
    <xf numFmtId="0" fontId="22" fillId="0" borderId="18" applyAlignment="1" pivotButton="0" quotePrefix="0" xfId="0">
      <alignment wrapText="1"/>
    </xf>
    <xf numFmtId="0" fontId="0" fillId="0" borderId="8" pivotButton="0" quotePrefix="0" xfId="0"/>
    <xf numFmtId="0" fontId="23" fillId="7" borderId="25" applyAlignment="1" pivotButton="0" quotePrefix="0" xfId="0">
      <alignment horizontal="center" wrapText="1"/>
    </xf>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1" fillId="7" borderId="32" pivotButton="0" quotePrefix="0" xfId="0"/>
    <xf numFmtId="0" fontId="0" fillId="0" borderId="13" pivotButton="0" quotePrefix="0" xfId="0"/>
    <xf numFmtId="0" fontId="0" fillId="0" borderId="14" pivotButton="0" quotePrefix="0" xfId="0"/>
    <xf numFmtId="0" fontId="24" fillId="7" borderId="32" applyAlignment="1" pivotButton="0" quotePrefix="0" xfId="0">
      <alignment wrapText="1"/>
    </xf>
    <xf numFmtId="164" fontId="24" fillId="7" borderId="25" applyAlignment="1" pivotButton="0" quotePrefix="0" xfId="0">
      <alignment wrapText="1"/>
    </xf>
    <xf numFmtId="0" fontId="0" fillId="0" borderId="17" pivotButton="0" quotePrefix="0" xfId="0"/>
    <xf numFmtId="0" fontId="0" fillId="0" borderId="18" pivotButton="0" quotePrefix="0" xfId="0"/>
    <xf numFmtId="0" fontId="27" fillId="7" borderId="32" applyAlignment="1" pivotButton="0" quotePrefix="0" xfId="0">
      <alignment wrapText="1"/>
    </xf>
    <xf numFmtId="0" fontId="0" fillId="0" borderId="20" pivotButton="0" quotePrefix="0" xfId="0"/>
    <xf numFmtId="0" fontId="0" fillId="0" borderId="23" pivotButton="0" quotePrefix="0" xfId="0"/>
    <xf numFmtId="0" fontId="0" fillId="0" borderId="28" pivotButton="0" quotePrefix="0" xfId="0"/>
    <xf numFmtId="0" fontId="0" fillId="0" borderId="2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8"/>
  <sheetViews>
    <sheetView workbookViewId="0">
      <selection activeCell="A1" sqref="A1"/>
    </sheetView>
  </sheetViews>
  <sheetFormatPr baseColWidth="8" defaultColWidth="12.63" defaultRowHeight="15.75" customHeight="1"/>
  <cols>
    <col width="13.13" customWidth="1" style="227" min="1" max="1"/>
  </cols>
  <sheetData>
    <row r="1">
      <c r="A1" s="3" t="inlineStr">
        <is>
          <t>Status</t>
        </is>
      </c>
      <c r="B1" s="3" t="inlineStr">
        <is>
          <t>Priority</t>
        </is>
      </c>
      <c r="C1" s="3" t="inlineStr">
        <is>
          <t>Risk</t>
        </is>
      </c>
    </row>
    <row r="2">
      <c r="A2" s="3" t="inlineStr">
        <is>
          <t>In progress</t>
        </is>
      </c>
      <c r="B2" s="3" t="inlineStr">
        <is>
          <t>High</t>
        </is>
      </c>
      <c r="C2" s="3" t="inlineStr">
        <is>
          <t>High risk</t>
        </is>
      </c>
    </row>
    <row r="3">
      <c r="A3" s="3" t="inlineStr">
        <is>
          <t>Completed</t>
        </is>
      </c>
      <c r="B3" s="3" t="inlineStr">
        <is>
          <t>Medium</t>
        </is>
      </c>
      <c r="C3" s="3" t="inlineStr">
        <is>
          <t>Medium risk</t>
        </is>
      </c>
    </row>
    <row r="4">
      <c r="A4" s="3" t="inlineStr">
        <is>
          <t>Not started</t>
        </is>
      </c>
      <c r="B4" s="3" t="inlineStr">
        <is>
          <t>Low</t>
        </is>
      </c>
      <c r="C4" s="3" t="inlineStr">
        <is>
          <t>Low risk</t>
        </is>
      </c>
    </row>
    <row r="5">
      <c r="A5" s="3" t="inlineStr">
        <is>
          <t>Paused</t>
        </is>
      </c>
      <c r="B5" s="3" t="n"/>
      <c r="C5" s="3" t="n"/>
    </row>
    <row r="6">
      <c r="A6" s="3" t="inlineStr">
        <is>
          <t>Overdue</t>
        </is>
      </c>
      <c r="B6" s="3" t="n"/>
      <c r="C6" s="3" t="n"/>
    </row>
    <row r="7">
      <c r="A7" s="6" t="inlineStr">
        <is>
          <t>Pending Testing</t>
        </is>
      </c>
    </row>
    <row r="8">
      <c r="A8" s="6" t="inlineStr">
        <is>
          <t>Pending Review</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21"/>
  <sheetViews>
    <sheetView workbookViewId="0">
      <selection activeCell="A1" sqref="A1"/>
    </sheetView>
  </sheetViews>
  <sheetFormatPr baseColWidth="8" defaultColWidth="12.63" defaultRowHeight="15.75" customHeight="1"/>
  <cols>
    <col width="15.88" customWidth="1" style="227" min="1" max="8"/>
  </cols>
  <sheetData>
    <row r="1">
      <c r="A1" s="2" t="inlineStr">
        <is>
          <t>McPAT / gem5 — S4D Classifier: full results (d64 &amp; d108, VLEN 256 &amp; 512, RVV vs Scalar)</t>
        </is>
      </c>
      <c r="I1" s="4" t="n"/>
    </row>
    <row r="2">
      <c r="A2" s="5" t="inlineStr">
        <is>
          <t>RiscvMinorCPU · 100 MHz · 22 nm McPAT · fp-fraction 0.60 · one inference per measurement · gem5 committed instructions</t>
        </is>
      </c>
      <c r="I2" s="4" t="n"/>
    </row>
    <row r="3">
      <c r="A3" s="4" t="n"/>
      <c r="B3" s="4" t="n"/>
      <c r="C3" s="4" t="n"/>
      <c r="D3" s="4" t="n"/>
      <c r="E3" s="4" t="n"/>
      <c r="F3" s="4" t="n"/>
      <c r="G3" s="4" t="n"/>
      <c r="H3" s="4" t="n"/>
      <c r="I3" s="4" t="n"/>
    </row>
    <row r="4">
      <c r="A4" s="8" t="inlineStr">
        <is>
          <t>Fixed hardware (identical for every run)</t>
        </is>
      </c>
      <c r="B4" s="8" t="n"/>
      <c r="C4" s="8" t="n"/>
      <c r="D4" s="8" t="n"/>
      <c r="E4" s="8" t="n"/>
      <c r="F4" s="8" t="n"/>
      <c r="G4" s="8" t="n"/>
      <c r="H4" s="8" t="n"/>
      <c r="I4" s="4" t="n"/>
    </row>
    <row r="5">
      <c r="A5" s="10" t="inlineStr">
        <is>
          <t>Area</t>
        </is>
      </c>
      <c r="B5" s="228" t="inlineStr">
        <is>
          <t>1.56708 mm²</t>
        </is>
      </c>
      <c r="C5" s="229" t="n"/>
      <c r="D5" s="230" t="n"/>
      <c r="E5" s="4" t="n"/>
      <c r="F5" s="4" t="n"/>
      <c r="G5" s="4" t="n"/>
      <c r="H5" s="4" t="n"/>
      <c r="I5" s="4" t="n"/>
    </row>
    <row r="6">
      <c r="A6" s="10" t="inlineStr">
        <is>
          <t>Peak Dynamic</t>
        </is>
      </c>
      <c r="B6" s="228" t="inlineStr">
        <is>
          <t>0.0590695 W</t>
        </is>
      </c>
      <c r="C6" s="229" t="n"/>
      <c r="D6" s="230" t="n"/>
      <c r="E6" s="4" t="n"/>
      <c r="F6" s="4" t="n"/>
      <c r="G6" s="4" t="n"/>
      <c r="H6" s="4" t="n"/>
      <c r="I6" s="4" t="n"/>
    </row>
    <row r="7">
      <c r="A7" s="10" t="inlineStr">
        <is>
          <t>Subthreshold Leakage</t>
        </is>
      </c>
      <c r="B7" s="228" t="inlineStr">
        <is>
          <t>0.00123784 W</t>
        </is>
      </c>
      <c r="C7" s="229" t="n"/>
      <c r="D7" s="230" t="n"/>
      <c r="E7" s="4" t="n"/>
      <c r="F7" s="4" t="n"/>
      <c r="G7" s="4" t="n"/>
      <c r="H7" s="4" t="n"/>
      <c r="I7" s="4" t="n"/>
    </row>
    <row r="8">
      <c r="A8" s="10" t="inlineStr">
        <is>
          <t>Gate Leakage</t>
        </is>
      </c>
      <c r="B8" s="228" t="inlineStr">
        <is>
          <t>0.000328242 W</t>
        </is>
      </c>
      <c r="C8" s="229" t="n"/>
      <c r="D8" s="230" t="n"/>
      <c r="E8" s="4" t="n"/>
      <c r="F8" s="4" t="n"/>
      <c r="G8" s="4" t="n"/>
      <c r="H8" s="4" t="n"/>
      <c r="I8" s="4" t="n"/>
    </row>
    <row r="9">
      <c r="A9" s="10" t="inlineStr">
        <is>
          <t>Total Leakage</t>
        </is>
      </c>
      <c r="B9" s="228" t="inlineStr">
        <is>
          <t>0.00156608 W</t>
        </is>
      </c>
      <c r="C9" s="229" t="n"/>
      <c r="D9" s="230" t="n"/>
      <c r="E9" s="4" t="n"/>
      <c r="F9" s="4" t="n"/>
      <c r="G9" s="4" t="n"/>
      <c r="H9" s="4" t="n"/>
      <c r="I9" s="4" t="n"/>
    </row>
    <row r="10">
      <c r="A10" s="4" t="n"/>
      <c r="B10" s="4" t="n"/>
      <c r="C10" s="4" t="n"/>
      <c r="D10" s="4" t="n"/>
      <c r="E10" s="4" t="n"/>
      <c r="F10" s="4" t="n"/>
      <c r="G10" s="4" t="n"/>
      <c r="H10" s="4" t="n"/>
      <c r="I10" s="4" t="n"/>
    </row>
    <row r="11">
      <c r="A11" s="11" t="inlineStr">
        <is>
          <t>Architecture</t>
        </is>
      </c>
      <c r="B11" s="11" t="inlineStr">
        <is>
          <t>VLEN</t>
        </is>
      </c>
      <c r="C11" s="11" t="inlineStr">
        <is>
          <t>Build</t>
        </is>
      </c>
      <c r="D11" s="11" t="inlineStr">
        <is>
          <t>Committed instr</t>
        </is>
      </c>
      <c r="E11" s="11" t="inlineStr">
        <is>
          <t>Exec time (s)</t>
        </is>
      </c>
      <c r="F11" s="11" t="inlineStr">
        <is>
          <t>Runtime Dynamic (W)</t>
        </is>
      </c>
      <c r="G11" s="11" t="inlineStr">
        <is>
          <t>Energy / inf (mJ)</t>
        </is>
      </c>
      <c r="H11" s="4" t="n"/>
      <c r="I11" s="4" t="n"/>
    </row>
    <row r="12">
      <c r="A12" s="10" t="inlineStr">
        <is>
          <t>d64</t>
        </is>
      </c>
      <c r="B12" s="17" t="n">
        <v>256</v>
      </c>
      <c r="C12" s="22" t="inlineStr">
        <is>
          <t>RVV</t>
        </is>
      </c>
      <c r="D12" s="15" t="n">
        <v>33082055</v>
      </c>
      <c r="E12" s="17" t="n">
        <v>0.3827</v>
      </c>
      <c r="F12" s="17" t="n">
        <v>0.010952</v>
      </c>
      <c r="G12" s="22" t="n">
        <v>4.191</v>
      </c>
      <c r="H12" s="4" t="n"/>
      <c r="I12" s="4" t="n"/>
    </row>
    <row r="13">
      <c r="A13" s="18" t="inlineStr">
        <is>
          <t>d64</t>
        </is>
      </c>
      <c r="B13" s="21" t="n">
        <v>256</v>
      </c>
      <c r="C13" s="24" t="inlineStr">
        <is>
          <t>Scalar</t>
        </is>
      </c>
      <c r="D13" s="19" t="n">
        <v>152657262</v>
      </c>
      <c r="E13" s="21" t="n">
        <v>2.4981</v>
      </c>
      <c r="F13" s="21" t="n">
        <v>0.008756</v>
      </c>
      <c r="G13" s="24" t="n">
        <v>21.873</v>
      </c>
      <c r="H13" s="4" t="n"/>
      <c r="I13" s="4" t="n"/>
    </row>
    <row r="14">
      <c r="A14" s="10" t="inlineStr">
        <is>
          <t>d64</t>
        </is>
      </c>
      <c r="B14" s="17" t="n">
        <v>512</v>
      </c>
      <c r="C14" s="22" t="inlineStr">
        <is>
          <t>RVV</t>
        </is>
      </c>
      <c r="D14" s="15" t="n">
        <v>23419539</v>
      </c>
      <c r="E14" s="17" t="n">
        <v>0.3699</v>
      </c>
      <c r="F14" s="17" t="n">
        <v>0.009041</v>
      </c>
      <c r="G14" s="22" t="n">
        <v>3.344</v>
      </c>
      <c r="H14" s="4" t="n"/>
      <c r="I14" s="4" t="n"/>
    </row>
    <row r="15">
      <c r="A15" s="18" t="inlineStr">
        <is>
          <t>d64</t>
        </is>
      </c>
      <c r="B15" s="21" t="n">
        <v>512</v>
      </c>
      <c r="C15" s="24" t="inlineStr">
        <is>
          <t>Scalar</t>
        </is>
      </c>
      <c r="D15" s="19" t="n">
        <v>152646202</v>
      </c>
      <c r="E15" s="21" t="n">
        <v>2.498</v>
      </c>
      <c r="F15" s="21" t="n">
        <v>0.008756</v>
      </c>
      <c r="G15" s="24" t="n">
        <v>21.871</v>
      </c>
      <c r="H15" s="4" t="n"/>
      <c r="I15" s="4" t="n"/>
    </row>
    <row r="16">
      <c r="A16" s="10" t="inlineStr">
        <is>
          <t>d108</t>
        </is>
      </c>
      <c r="B16" s="17" t="n">
        <v>256</v>
      </c>
      <c r="C16" s="22" t="inlineStr">
        <is>
          <t>RVV</t>
        </is>
      </c>
      <c r="D16" s="15" t="n">
        <v>19948328</v>
      </c>
      <c r="E16" s="17" t="n">
        <v>0.2865</v>
      </c>
      <c r="F16" s="17" t="n">
        <v>0.009934999999999999</v>
      </c>
      <c r="G16" s="22" t="n">
        <v>2.846</v>
      </c>
      <c r="H16" s="4" t="n"/>
      <c r="I16" s="4" t="n"/>
    </row>
    <row r="17">
      <c r="A17" s="18" t="inlineStr">
        <is>
          <t>d108</t>
        </is>
      </c>
      <c r="B17" s="21" t="n">
        <v>256</v>
      </c>
      <c r="C17" s="24" t="inlineStr">
        <is>
          <t>Scalar</t>
        </is>
      </c>
      <c r="D17" s="19" t="n">
        <v>33051024</v>
      </c>
      <c r="E17" s="21" t="n">
        <v>0.5319</v>
      </c>
      <c r="F17" s="21" t="n">
        <v>0.008931</v>
      </c>
      <c r="G17" s="24" t="n">
        <v>4.75</v>
      </c>
      <c r="H17" s="4" t="n"/>
      <c r="I17" s="4" t="n"/>
    </row>
    <row r="18">
      <c r="A18" s="10" t="inlineStr">
        <is>
          <t>d108</t>
        </is>
      </c>
      <c r="B18" s="17" t="n">
        <v>512</v>
      </c>
      <c r="C18" s="22" t="inlineStr">
        <is>
          <t>RVV</t>
        </is>
      </c>
      <c r="D18" s="15" t="n">
        <v>14649771</v>
      </c>
      <c r="E18" s="17" t="n">
        <v>0.2192</v>
      </c>
      <c r="F18" s="17" t="n">
        <v>0.009707</v>
      </c>
      <c r="G18" s="22" t="n">
        <v>2.128</v>
      </c>
      <c r="H18" s="4" t="n"/>
      <c r="I18" s="4" t="n"/>
    </row>
    <row r="19">
      <c r="A19" s="18" t="inlineStr">
        <is>
          <t>d108</t>
        </is>
      </c>
      <c r="B19" s="21" t="n">
        <v>512</v>
      </c>
      <c r="C19" s="24" t="inlineStr">
        <is>
          <t>Scalar</t>
        </is>
      </c>
      <c r="D19" s="19" t="n">
        <v>24302515</v>
      </c>
      <c r="E19" s="21" t="n">
        <v>0.4144</v>
      </c>
      <c r="F19" s="21" t="n">
        <v>0.008613000000000001</v>
      </c>
      <c r="G19" s="24" t="n">
        <v>3.569</v>
      </c>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sheetData>
  <mergeCells count="7">
    <mergeCell ref="B5:D5"/>
    <mergeCell ref="B8:D8"/>
    <mergeCell ref="A2:H2"/>
    <mergeCell ref="B9:D9"/>
    <mergeCell ref="A1:H1"/>
    <mergeCell ref="B7:D7"/>
    <mergeCell ref="B6:D6"/>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I18"/>
  <sheetViews>
    <sheetView workbookViewId="0">
      <selection activeCell="A1" sqref="A1"/>
    </sheetView>
  </sheetViews>
  <sheetFormatPr baseColWidth="8" defaultColWidth="12.63" defaultRowHeight="15.75" customHeight="1"/>
  <cols>
    <col width="21.88" customWidth="1" style="227" min="1" max="8"/>
  </cols>
  <sheetData>
    <row r="1">
      <c r="A1" s="9" t="inlineStr">
        <is>
          <t>Effect of widening the vector unit (VLEN 256 → 512), same model &amp; build</t>
        </is>
      </c>
      <c r="G1" s="4" t="n"/>
      <c r="H1" s="4" t="n"/>
      <c r="I1" s="4" t="n"/>
    </row>
    <row r="2">
      <c r="A2" s="4" t="n"/>
      <c r="B2" s="4" t="n"/>
      <c r="C2" s="4" t="n"/>
      <c r="D2" s="4" t="n"/>
      <c r="E2" s="4" t="n"/>
      <c r="F2" s="4" t="n"/>
      <c r="G2" s="4" t="n"/>
      <c r="H2" s="4" t="n"/>
      <c r="I2" s="4" t="n"/>
    </row>
    <row r="3">
      <c r="A3" s="11" t="inlineStr">
        <is>
          <t>Model / build</t>
        </is>
      </c>
      <c r="B3" s="11" t="inlineStr">
        <is>
          <t>Instr @256</t>
        </is>
      </c>
      <c r="C3" s="11" t="inlineStr">
        <is>
          <t>Instr @512</t>
        </is>
      </c>
      <c r="D3" s="11" t="inlineStr">
        <is>
          <t>Instruction cut</t>
        </is>
      </c>
      <c r="E3" s="11" t="inlineStr">
        <is>
          <t>Energy @256 (mJ)</t>
        </is>
      </c>
      <c r="F3" s="11" t="inlineStr">
        <is>
          <t>Energy @512 (mJ)</t>
        </is>
      </c>
      <c r="G3" s="4" t="n"/>
      <c r="H3" s="4" t="n"/>
      <c r="I3" s="4" t="n"/>
    </row>
    <row r="4">
      <c r="A4" s="10" t="inlineStr">
        <is>
          <t>d64 RVV</t>
        </is>
      </c>
      <c r="B4" s="15" t="n">
        <v>33082055</v>
      </c>
      <c r="C4" s="15" t="n">
        <v>23419539</v>
      </c>
      <c r="D4" s="16" t="n">
        <v>-0.29</v>
      </c>
      <c r="E4" s="17" t="n">
        <v>4.191</v>
      </c>
      <c r="F4" s="17" t="n">
        <v>3.344</v>
      </c>
      <c r="G4" s="4" t="n"/>
      <c r="H4" s="4" t="n"/>
      <c r="I4" s="4" t="n"/>
    </row>
    <row r="5">
      <c r="A5" s="18" t="inlineStr">
        <is>
          <t>d64 Scalar</t>
        </is>
      </c>
      <c r="B5" s="19" t="n">
        <v>152657262</v>
      </c>
      <c r="C5" s="19" t="n">
        <v>152646202</v>
      </c>
      <c r="D5" s="20" t="n">
        <v>0</v>
      </c>
      <c r="E5" s="21" t="n">
        <v>21.873</v>
      </c>
      <c r="F5" s="21" t="n">
        <v>21.871</v>
      </c>
      <c r="G5" s="4" t="n"/>
      <c r="H5" s="4" t="n"/>
      <c r="I5" s="4" t="n"/>
    </row>
    <row r="6">
      <c r="A6" s="10" t="inlineStr">
        <is>
          <t>d108 RVV</t>
        </is>
      </c>
      <c r="B6" s="15" t="n">
        <v>19948328</v>
      </c>
      <c r="C6" s="15" t="n">
        <v>14649771</v>
      </c>
      <c r="D6" s="16" t="n">
        <v>-0.27</v>
      </c>
      <c r="E6" s="17" t="n">
        <v>2.846</v>
      </c>
      <c r="F6" s="17" t="n">
        <v>2.128</v>
      </c>
      <c r="G6" s="4" t="n"/>
      <c r="H6" s="4" t="n"/>
      <c r="I6" s="4" t="n"/>
    </row>
    <row r="7">
      <c r="A7" s="18" t="inlineStr">
        <is>
          <t>d108 Scalar</t>
        </is>
      </c>
      <c r="B7" s="19" t="n">
        <v>33051024</v>
      </c>
      <c r="C7" s="19" t="n">
        <v>24302515</v>
      </c>
      <c r="D7" s="20" t="n">
        <v>-0.26</v>
      </c>
      <c r="E7" s="21" t="n">
        <v>4.75</v>
      </c>
      <c r="F7" s="21" t="n">
        <v>3.569</v>
      </c>
      <c r="G7" s="4" t="n"/>
      <c r="H7" s="4" t="n"/>
      <c r="I7" s="4" t="n"/>
    </row>
    <row r="8">
      <c r="A8" s="4" t="n"/>
      <c r="B8" s="4" t="n"/>
      <c r="C8" s="4" t="n"/>
      <c r="D8" s="4" t="n"/>
      <c r="E8" s="4" t="n"/>
      <c r="F8" s="4" t="n"/>
      <c r="G8" s="4" t="n"/>
      <c r="H8" s="4" t="n"/>
      <c r="I8" s="4" t="n"/>
    </row>
    <row r="9">
      <c r="A9" s="23" t="inlineStr">
        <is>
          <t>Both models' RVV builds drop ~28% at 512 (d108's scan finally fits one 64-lane group; d64's element-wise ops widen). CAVEAT: the McPAT template models a FIXED-width core, so it does not add the extra area/power of a real 512-bit unit — the runtime power even falls, which is unphysical. Treat the 512 ENERGY as optimistic (a lower bound); the instruction/time cuts are solid.</t>
        </is>
      </c>
      <c r="G9" s="4" t="n"/>
      <c r="H9" s="4" t="n"/>
      <c r="I9" s="4" t="n"/>
    </row>
    <row r="10">
      <c r="G10" s="4" t="n"/>
      <c r="H10" s="4" t="n"/>
      <c r="I10" s="4" t="n"/>
    </row>
    <row r="11">
      <c r="G11" s="4" t="n"/>
      <c r="H11" s="4" t="n"/>
      <c r="I11" s="4" t="n"/>
    </row>
    <row r="12">
      <c r="G12" s="4" t="n"/>
      <c r="H12" s="4" t="n"/>
      <c r="I12" s="4" t="n"/>
    </row>
    <row r="13">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sheetData>
  <mergeCells count="2">
    <mergeCell ref="A9:F13"/>
    <mergeCell ref="A1:F1"/>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G16"/>
  <sheetViews>
    <sheetView workbookViewId="0">
      <selection activeCell="A1" sqref="A1"/>
    </sheetView>
  </sheetViews>
  <sheetFormatPr baseColWidth="8" defaultColWidth="12.63" defaultRowHeight="15.75" customHeight="1"/>
  <cols>
    <col width="18.75" customWidth="1" style="227" min="5" max="5"/>
  </cols>
  <sheetData>
    <row r="1">
      <c r="A1" s="9" t="inlineStr">
        <is>
          <t>How many times the RVV build beats the Scalar build (same model, same VLEN)</t>
        </is>
      </c>
      <c r="F1" s="4" t="n"/>
      <c r="G1" s="4" t="n"/>
    </row>
    <row r="2">
      <c r="A2" s="4" t="n"/>
      <c r="B2" s="4" t="n"/>
      <c r="C2" s="4" t="n"/>
      <c r="D2" s="4" t="n"/>
      <c r="E2" s="4" t="n"/>
      <c r="F2" s="4" t="n"/>
      <c r="G2" s="4" t="n"/>
    </row>
    <row r="3">
      <c r="A3" s="11" t="inlineStr">
        <is>
          <t>Architecture</t>
        </is>
      </c>
      <c r="B3" s="11" t="inlineStr">
        <is>
          <t>VLEN</t>
        </is>
      </c>
      <c r="C3" s="11" t="inlineStr">
        <is>
          <t>Fewer instructions</t>
        </is>
      </c>
      <c r="D3" s="11" t="inlineStr">
        <is>
          <t>Faster (time)</t>
        </is>
      </c>
      <c r="E3" s="11" t="inlineStr">
        <is>
          <t>Less energy</t>
        </is>
      </c>
      <c r="F3" s="4" t="n"/>
      <c r="G3" s="4" t="n"/>
    </row>
    <row r="4">
      <c r="A4" s="10" t="inlineStr">
        <is>
          <t>d64</t>
        </is>
      </c>
      <c r="B4" s="17" t="n">
        <v>256</v>
      </c>
      <c r="C4" s="22" t="inlineStr">
        <is>
          <t>4.61×</t>
        </is>
      </c>
      <c r="D4" s="17" t="inlineStr">
        <is>
          <t>6.53×</t>
        </is>
      </c>
      <c r="E4" s="17" t="inlineStr">
        <is>
          <t>5.22×</t>
        </is>
      </c>
      <c r="F4" s="4" t="n"/>
      <c r="G4" s="4" t="n"/>
    </row>
    <row r="5">
      <c r="A5" s="18" t="inlineStr">
        <is>
          <t>d64</t>
        </is>
      </c>
      <c r="B5" s="21" t="n">
        <v>512</v>
      </c>
      <c r="C5" s="24" t="inlineStr">
        <is>
          <t>6.52×</t>
        </is>
      </c>
      <c r="D5" s="21" t="inlineStr">
        <is>
          <t>6.75×</t>
        </is>
      </c>
      <c r="E5" s="21" t="inlineStr">
        <is>
          <t>6.54×</t>
        </is>
      </c>
      <c r="F5" s="4" t="n"/>
      <c r="G5" s="4" t="n"/>
    </row>
    <row r="6">
      <c r="A6" s="10" t="inlineStr">
        <is>
          <t>d108</t>
        </is>
      </c>
      <c r="B6" s="17" t="n">
        <v>256</v>
      </c>
      <c r="C6" s="22" t="inlineStr">
        <is>
          <t>1.66×</t>
        </is>
      </c>
      <c r="D6" s="17" t="inlineStr">
        <is>
          <t>1.86×</t>
        </is>
      </c>
      <c r="E6" s="17" t="inlineStr">
        <is>
          <t>1.67×</t>
        </is>
      </c>
      <c r="F6" s="4" t="n"/>
      <c r="G6" s="4" t="n"/>
    </row>
    <row r="7">
      <c r="A7" s="18" t="inlineStr">
        <is>
          <t>d108</t>
        </is>
      </c>
      <c r="B7" s="21" t="n">
        <v>512</v>
      </c>
      <c r="C7" s="24" t="inlineStr">
        <is>
          <t>1.66×</t>
        </is>
      </c>
      <c r="D7" s="21" t="inlineStr">
        <is>
          <t>1.89×</t>
        </is>
      </c>
      <c r="E7" s="21" t="inlineStr">
        <is>
          <t>1.68×</t>
        </is>
      </c>
      <c r="F7" s="4" t="n"/>
      <c r="G7" s="4" t="n"/>
    </row>
    <row r="8">
      <c r="A8" s="4" t="n"/>
      <c r="B8" s="4" t="n"/>
      <c r="C8" s="4" t="n"/>
      <c r="D8" s="4" t="n"/>
      <c r="E8" s="4" t="n"/>
      <c r="F8" s="4" t="n"/>
      <c r="G8" s="4" t="n"/>
    </row>
    <row r="9">
      <c r="A9" s="23" t="inlineStr">
        <is>
          <t>Note: at VLEN=512 d64's factor grows (4.6→6.5×) because its scalar build gets no benefit from the wider unit, while d108's factor stays 1.66× because its scalar build ALSO speeds up (its auto-vectorized 48-wide projection widens). The d64-vs-d108 gap is set by model shape, not vector width.</t>
        </is>
      </c>
      <c r="F9" s="4" t="n"/>
      <c r="G9" s="4" t="n"/>
    </row>
    <row r="10">
      <c r="F10" s="4" t="n"/>
      <c r="G10" s="4" t="n"/>
    </row>
    <row r="11">
      <c r="F11" s="4" t="n"/>
      <c r="G11" s="4" t="n"/>
    </row>
    <row r="12">
      <c r="F12" s="4" t="n"/>
      <c r="G12" s="4" t="n"/>
    </row>
    <row r="13">
      <c r="A13" s="4" t="n"/>
      <c r="B13" s="4" t="n"/>
      <c r="C13" s="4" t="n"/>
      <c r="D13" s="4" t="n"/>
      <c r="E13" s="4" t="n"/>
      <c r="F13" s="4" t="n"/>
      <c r="G13" s="4" t="n"/>
    </row>
    <row r="14">
      <c r="A14" s="4" t="n"/>
      <c r="B14" s="4" t="n"/>
      <c r="C14" s="4" t="n"/>
      <c r="D14" s="4" t="n"/>
      <c r="E14" s="4" t="n"/>
      <c r="F14" s="4" t="n"/>
      <c r="G14" s="4" t="n"/>
    </row>
    <row r="15">
      <c r="A15" s="4" t="n"/>
      <c r="B15" s="4" t="n"/>
      <c r="C15" s="4" t="n"/>
      <c r="D15" s="4" t="n"/>
      <c r="E15" s="4" t="n"/>
      <c r="F15" s="4" t="n"/>
      <c r="G15" s="4" t="n"/>
    </row>
    <row r="16">
      <c r="A16" s="4" t="n"/>
      <c r="B16" s="4" t="n"/>
      <c r="C16" s="4" t="n"/>
      <c r="D16" s="4" t="n"/>
      <c r="E16" s="4" t="n"/>
      <c r="F16" s="4" t="n"/>
      <c r="G16" s="4" t="n"/>
    </row>
  </sheetData>
  <mergeCells count="2">
    <mergeCell ref="A1:E1"/>
    <mergeCell ref="A9:E12"/>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32.38" customWidth="1" style="227" min="1" max="8"/>
  </cols>
  <sheetData>
    <row r="1">
      <c r="A1" s="9" t="inlineStr">
        <is>
          <t>Where the runtime-dynamic power goes (McPAT, VLEN=256). FPU dominates → workload is float-bound.</t>
        </is>
      </c>
      <c r="F1" s="4" t="n"/>
      <c r="G1" s="4" t="n"/>
      <c r="H1" s="4" t="n"/>
    </row>
    <row r="2">
      <c r="A2" s="4" t="n"/>
      <c r="B2" s="4" t="n"/>
      <c r="C2" s="4" t="n"/>
      <c r="D2" s="4" t="n"/>
      <c r="E2" s="4" t="n"/>
      <c r="F2" s="4" t="n"/>
      <c r="G2" s="4" t="n"/>
      <c r="H2" s="4" t="n"/>
    </row>
    <row r="3">
      <c r="A3" s="11" t="inlineStr">
        <is>
          <t>Model / build</t>
        </is>
      </c>
      <c r="B3" s="11" t="inlineStr">
        <is>
          <t>Execution Unit (W)</t>
        </is>
      </c>
      <c r="C3" s="11" t="inlineStr">
        <is>
          <t>Floating-Point Units (W)</t>
        </is>
      </c>
      <c r="D3" s="11" t="inlineStr">
        <is>
          <t>Integer ALUs (W)</t>
        </is>
      </c>
      <c r="E3" s="11" t="inlineStr">
        <is>
          <t>FPU % of Exec Unit</t>
        </is>
      </c>
      <c r="F3" s="4" t="n"/>
      <c r="G3" s="4" t="n"/>
      <c r="H3" s="4" t="n"/>
    </row>
    <row r="4">
      <c r="A4" s="10" t="inlineStr">
        <is>
          <t>d64 RVV</t>
        </is>
      </c>
      <c r="B4" s="17" t="n">
        <v>0.00772</v>
      </c>
      <c r="C4" s="17" t="n">
        <v>0.004678</v>
      </c>
      <c r="D4" s="17" t="n">
        <v>0.00104</v>
      </c>
      <c r="E4" s="16" t="n">
        <v>0.61</v>
      </c>
      <c r="F4" s="4" t="n"/>
      <c r="G4" s="4" t="n"/>
      <c r="H4" s="4" t="n"/>
    </row>
    <row r="5">
      <c r="A5" s="18" t="inlineStr">
        <is>
          <t>d64 Scalar</t>
        </is>
      </c>
      <c r="B5" s="21" t="n">
        <v>0.005617</v>
      </c>
      <c r="C5" s="21" t="n">
        <v>0.003307</v>
      </c>
      <c r="D5" s="21" t="n">
        <v>0.000735</v>
      </c>
      <c r="E5" s="20" t="n">
        <v>0.59</v>
      </c>
      <c r="F5" s="4" t="n"/>
      <c r="G5" s="4" t="n"/>
      <c r="H5" s="4" t="n"/>
    </row>
    <row r="6">
      <c r="A6" s="10" t="inlineStr">
        <is>
          <t>d108 RVV</t>
        </is>
      </c>
      <c r="B6" s="17" t="n">
        <v>0.006325</v>
      </c>
      <c r="C6" s="17" t="n">
        <v>0.003768</v>
      </c>
      <c r="D6" s="17" t="n">
        <v>0.000837</v>
      </c>
      <c r="E6" s="16" t="n">
        <v>0.6</v>
      </c>
      <c r="F6" s="4" t="n"/>
      <c r="G6" s="4" t="n"/>
      <c r="H6" s="4" t="n"/>
    </row>
    <row r="7">
      <c r="A7" s="18" t="inlineStr">
        <is>
          <t>d108 Scalar</t>
        </is>
      </c>
      <c r="B7" s="21" t="n">
        <v>0.005703</v>
      </c>
      <c r="C7" s="21" t="n">
        <v>0.003363</v>
      </c>
      <c r="D7" s="21" t="n">
        <v>0.0007470000000000001</v>
      </c>
      <c r="E7" s="20" t="n">
        <v>0.59</v>
      </c>
      <c r="F7" s="4" t="n"/>
      <c r="G7" s="4" t="n"/>
      <c r="H7" s="4" t="n"/>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14"/>
  <sheetViews>
    <sheetView workbookViewId="0">
      <selection activeCell="A1" sqref="A1"/>
    </sheetView>
  </sheetViews>
  <sheetFormatPr baseColWidth="8" defaultColWidth="12.63" defaultRowHeight="15.75" customHeight="1"/>
  <cols>
    <col width="16.5" customWidth="1" style="227" min="1" max="6"/>
  </cols>
  <sheetData>
    <row r="1">
      <c r="A1" s="9" t="inlineStr">
        <is>
          <t>d108 functional accuracy (real GalaxyMNIST test set, 2000 images)</t>
        </is>
      </c>
      <c r="E1" s="4" t="n"/>
      <c r="F1" s="4" t="n"/>
    </row>
    <row r="2">
      <c r="A2" s="10" t="inlineStr">
        <is>
          <t>PyTorch accuracy</t>
        </is>
      </c>
      <c r="B2" s="25" t="n">
        <v>0.822</v>
      </c>
      <c r="C2" s="4" t="n"/>
      <c r="D2" s="4" t="n"/>
      <c r="E2" s="4" t="n"/>
      <c r="F2" s="4" t="n"/>
    </row>
    <row r="3">
      <c r="A3" s="10" t="inlineStr">
        <is>
          <t>C-model accuracy</t>
        </is>
      </c>
      <c r="B3" s="25" t="n">
        <v>0.822</v>
      </c>
      <c r="C3" s="4" t="n"/>
      <c r="D3" s="4" t="n"/>
      <c r="E3" s="4" t="n"/>
      <c r="F3" s="4" t="n"/>
    </row>
    <row r="4">
      <c r="A4" s="10" t="inlineStr">
        <is>
          <t>C vs PyTorch agreement</t>
        </is>
      </c>
      <c r="B4" s="25" t="n">
        <v>1</v>
      </c>
      <c r="C4" s="4" t="n"/>
      <c r="D4" s="4" t="n"/>
      <c r="E4" s="4" t="n"/>
      <c r="F4" s="4" t="n"/>
    </row>
    <row r="5">
      <c r="A5" s="4" t="n"/>
      <c r="B5" s="4" t="n"/>
      <c r="C5" s="4" t="n"/>
      <c r="D5" s="4" t="n"/>
      <c r="E5" s="4" t="n"/>
      <c r="F5" s="4" t="n"/>
    </row>
    <row r="6">
      <c r="A6" s="26" t="inlineStr">
        <is>
          <t>Correction of the earlier third-party report (same d64 code)</t>
        </is>
      </c>
      <c r="E6" s="4" t="n"/>
      <c r="F6" s="4" t="n"/>
    </row>
    <row r="7">
      <c r="A7" s="11" t="inlineStr">
        <is>
          <t>Case</t>
        </is>
      </c>
      <c r="B7" s="11" t="inlineStr">
        <is>
          <t>RVV time used</t>
        </is>
      </c>
      <c r="C7" s="11" t="inlineStr">
        <is>
          <t>RVV power</t>
        </is>
      </c>
      <c r="D7" s="11" t="inlineStr">
        <is>
          <t>RVV energy</t>
        </is>
      </c>
      <c r="E7" s="4" t="n"/>
      <c r="F7" s="4" t="n"/>
    </row>
    <row r="8">
      <c r="A8" s="10" t="inlineStr">
        <is>
          <t>Earlier report</t>
        </is>
      </c>
      <c r="B8" s="17" t="inlineStr">
        <is>
          <t>2.454494 s (scalar time!)</t>
        </is>
      </c>
      <c r="C8" s="17" t="inlineStr">
        <is>
          <t>0.0103 W</t>
        </is>
      </c>
      <c r="D8" s="29" t="inlineStr">
        <is>
          <t>25.3 mJ</t>
        </is>
      </c>
      <c r="E8" s="4" t="n"/>
      <c r="F8" s="4" t="n"/>
    </row>
    <row r="9">
      <c r="A9" s="10" t="inlineStr">
        <is>
          <t>Correct (this study)</t>
        </is>
      </c>
      <c r="B9" s="17" t="inlineStr">
        <is>
          <t>0.382659 s (real RVV)</t>
        </is>
      </c>
      <c r="C9" s="17" t="inlineStr">
        <is>
          <t>0.0103 W</t>
        </is>
      </c>
      <c r="D9" s="30" t="inlineStr">
        <is>
          <t>3.94 mJ</t>
        </is>
      </c>
      <c r="E9" s="4" t="n"/>
      <c r="F9" s="4" t="n"/>
    </row>
    <row r="10">
      <c r="A10" s="4" t="n"/>
      <c r="B10" s="4" t="n"/>
      <c r="C10" s="4" t="n"/>
      <c r="D10" s="4" t="n"/>
      <c r="E10" s="4" t="n"/>
      <c r="F10" s="4" t="n"/>
    </row>
    <row r="11">
      <c r="A11" s="23" t="inlineStr">
        <is>
          <t>Their RVV run was never vectorized (143M instr / 2.45 s = scalar-class); they multiplied RVV power by the scalar time. Tell-tale: their 25.3 mJ 'RVV' exceeds the true scalar energy (~22 mJ) — impossible for a real speed-up.</t>
        </is>
      </c>
      <c r="E11" s="4" t="n"/>
      <c r="F11" s="4" t="n"/>
    </row>
    <row r="12">
      <c r="E12" s="4" t="n"/>
      <c r="F12" s="4" t="n"/>
    </row>
    <row r="13">
      <c r="E13" s="4" t="n"/>
      <c r="F13" s="4" t="n"/>
    </row>
    <row r="14">
      <c r="E14" s="4" t="n"/>
      <c r="F14" s="4" t="n"/>
    </row>
  </sheetData>
  <mergeCells count="3">
    <mergeCell ref="A1:D1"/>
    <mergeCell ref="A11:D14"/>
    <mergeCell ref="A6:D6"/>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20"/>
  <sheetViews>
    <sheetView workbookViewId="0">
      <selection activeCell="A1" sqref="A1"/>
    </sheetView>
  </sheetViews>
  <sheetFormatPr baseColWidth="8" defaultColWidth="12.63" defaultRowHeight="15.75" customHeight="1"/>
  <cols>
    <col width="115.63" customWidth="1" style="227" min="1" max="1"/>
    <col width="15.88" customWidth="1" style="227" min="2" max="2"/>
    <col width="11" customWidth="1" style="227" min="3" max="3"/>
    <col width="10.75" customWidth="1" style="227" min="4" max="4"/>
  </cols>
  <sheetData>
    <row r="1">
      <c r="A1" s="27" t="inlineStr">
        <is>
          <t>Galaxy CNN vs S4D: energy and performance per inference</t>
        </is>
      </c>
      <c r="E1" s="4" t="n"/>
    </row>
    <row r="2">
      <c r="A2" s="28" t="inlineStr">
        <is>
          <t>RiscvMinorCPU (in order), 100 MHz, VLEN 256, 22 nm McPAT, fp fraction 0.60, one inference per measurement. RVV builds shown.</t>
        </is>
      </c>
      <c r="E2" s="4" t="n"/>
    </row>
    <row r="3">
      <c r="A3" s="4" t="n"/>
      <c r="B3" s="4" t="n"/>
      <c r="C3" s="4" t="n"/>
      <c r="D3" s="4" t="n"/>
      <c r="E3" s="4" t="n"/>
    </row>
    <row r="4">
      <c r="A4" s="31" t="inlineStr">
        <is>
          <t>Metric</t>
        </is>
      </c>
      <c r="B4" s="31" t="inlineStr">
        <is>
          <t>Galaxy CNN 61K</t>
        </is>
      </c>
      <c r="C4" s="31" t="inlineStr">
        <is>
          <t>S4D d108</t>
        </is>
      </c>
      <c r="D4" s="31" t="inlineStr">
        <is>
          <t>CNN vs S4D</t>
        </is>
      </c>
      <c r="E4" s="4" t="n"/>
    </row>
    <row r="5">
      <c r="A5" s="32" t="inlineStr">
        <is>
          <t>Committed instructions</t>
        </is>
      </c>
      <c r="B5" s="34" t="n">
        <v>53825016</v>
      </c>
      <c r="C5" s="34" t="n">
        <v>19948328</v>
      </c>
      <c r="D5" s="36" t="inlineStr">
        <is>
          <t>2.70x</t>
        </is>
      </c>
      <c r="E5" s="4" t="n"/>
    </row>
    <row r="6">
      <c r="A6" s="38" t="inlineStr">
        <is>
          <t>Execution time (seconds)</t>
        </is>
      </c>
      <c r="B6" s="37" t="n">
        <v>0.8221000000000001</v>
      </c>
      <c r="C6" s="37" t="n">
        <v>0.2865</v>
      </c>
      <c r="D6" s="44" t="inlineStr">
        <is>
          <t>2.87x</t>
        </is>
      </c>
      <c r="E6" s="4" t="n"/>
    </row>
    <row r="7">
      <c r="A7" s="32" t="inlineStr">
        <is>
          <t>Runtime dynamic power (W)</t>
        </is>
      </c>
      <c r="B7" s="41" t="n">
        <v>0.010009</v>
      </c>
      <c r="C7" s="41" t="n">
        <v>0.009934999999999999</v>
      </c>
      <c r="D7" s="36" t="inlineStr">
        <is>
          <t>1.01x</t>
        </is>
      </c>
      <c r="E7" s="4" t="n"/>
    </row>
    <row r="8">
      <c r="A8" s="38" t="inlineStr">
        <is>
          <t>Energy per inference (mJ)</t>
        </is>
      </c>
      <c r="B8" s="37" t="n">
        <v>8.228</v>
      </c>
      <c r="C8" s="37" t="n">
        <v>2.846</v>
      </c>
      <c r="D8" s="44" t="inlineStr">
        <is>
          <t>2.89x</t>
        </is>
      </c>
      <c r="E8" s="4" t="n"/>
    </row>
    <row r="9">
      <c r="A9" s="32" t="inlineStr">
        <is>
          <t>Throughput (inferences per second)</t>
        </is>
      </c>
      <c r="B9" s="41" t="n">
        <v>1.216</v>
      </c>
      <c r="C9" s="41" t="n">
        <v>3.491</v>
      </c>
      <c r="D9" s="36" t="inlineStr">
        <is>
          <t>0.35x</t>
        </is>
      </c>
      <c r="E9" s="4" t="n"/>
    </row>
    <row r="10">
      <c r="A10" s="38" t="inlineStr">
        <is>
          <t>Energy delay product (mJ times s)</t>
        </is>
      </c>
      <c r="B10" s="37" t="n">
        <v>6.765</v>
      </c>
      <c r="C10" s="37" t="n">
        <v>0.8149999999999999</v>
      </c>
      <c r="D10" s="44" t="inlineStr">
        <is>
          <t>8.30x</t>
        </is>
      </c>
      <c r="E10" s="4" t="n"/>
    </row>
    <row r="11">
      <c r="A11" s="38" t="inlineStr">
        <is>
          <t>Accuracy on GalaxyMNIST test set</t>
        </is>
      </c>
      <c r="B11" s="44" t="inlineStr">
        <is>
          <t>not yet measured</t>
        </is>
      </c>
      <c r="C11" s="43" t="n">
        <v>0.822</v>
      </c>
      <c r="D11" s="44" t="n"/>
      <c r="E11" s="4" t="n"/>
    </row>
    <row r="12">
      <c r="A12" s="4" t="n"/>
      <c r="B12" s="4" t="n"/>
      <c r="C12" s="4" t="n"/>
      <c r="D12" s="4" t="n"/>
      <c r="E12" s="4" t="n"/>
    </row>
    <row r="13">
      <c r="A13" s="46" t="inlineStr">
        <is>
          <t>Reading: the CNN needs about 2.9 times the energy of S4D d108 per inference on the same core. Both models classify one 64 by 64 galaxy image per run.</t>
        </is>
      </c>
      <c r="E13" s="4" t="n"/>
    </row>
    <row r="14">
      <c r="A14" s="4" t="n"/>
      <c r="B14" s="4" t="n"/>
      <c r="C14" s="4" t="n"/>
      <c r="D14" s="4" t="n"/>
      <c r="E14" s="4" t="n"/>
    </row>
    <row r="15">
      <c r="A15" s="40" t="inlineStr">
        <is>
          <t>How much RVV beats scalar (same model, same core)</t>
        </is>
      </c>
      <c r="B15" s="4" t="n"/>
      <c r="C15" s="4" t="n"/>
      <c r="D15" s="4" t="n"/>
      <c r="E15" s="4" t="n"/>
    </row>
    <row r="16">
      <c r="A16" s="31" t="inlineStr">
        <is>
          <t>Model</t>
        </is>
      </c>
      <c r="B16" s="31" t="inlineStr">
        <is>
          <t>Fewer instructions</t>
        </is>
      </c>
      <c r="C16" s="31" t="inlineStr">
        <is>
          <t>Faster (time)</t>
        </is>
      </c>
      <c r="D16" s="31" t="inlineStr">
        <is>
          <t>Less energy</t>
        </is>
      </c>
      <c r="E16" s="4" t="n"/>
    </row>
    <row r="17">
      <c r="A17" s="38" t="inlineStr">
        <is>
          <t>Galaxy CNN 61K</t>
        </is>
      </c>
      <c r="B17" s="44" t="inlineStr">
        <is>
          <t>5.93x</t>
        </is>
      </c>
      <c r="C17" s="44" t="inlineStr">
        <is>
          <t>12.83x</t>
        </is>
      </c>
      <c r="D17" s="44" t="inlineStr">
        <is>
          <t>7.44x</t>
        </is>
      </c>
      <c r="E17" s="4" t="n"/>
    </row>
    <row r="18">
      <c r="A18" s="38" t="inlineStr">
        <is>
          <t>S4D d108</t>
        </is>
      </c>
      <c r="B18" s="44" t="inlineStr">
        <is>
          <t>1.66x</t>
        </is>
      </c>
      <c r="C18" s="44" t="inlineStr">
        <is>
          <t>1.86x</t>
        </is>
      </c>
      <c r="D18" s="44" t="inlineStr">
        <is>
          <t>1.67x</t>
        </is>
      </c>
      <c r="E18" s="4" t="n"/>
    </row>
    <row r="19">
      <c r="A19" s="38" t="inlineStr">
        <is>
          <t>S4D d64</t>
        </is>
      </c>
      <c r="B19" s="44" t="inlineStr">
        <is>
          <t>4.61x</t>
        </is>
      </c>
      <c r="C19" s="44" t="inlineStr">
        <is>
          <t>6.53x</t>
        </is>
      </c>
      <c r="D19" s="44" t="inlineStr">
        <is>
          <t>5.22x</t>
        </is>
      </c>
      <c r="E19" s="4" t="n"/>
    </row>
    <row r="20">
      <c r="A20" s="4" t="n"/>
      <c r="B20" s="4" t="n"/>
      <c r="C20" s="4" t="n"/>
      <c r="D20" s="4" t="n"/>
      <c r="E20" s="4" t="n"/>
    </row>
  </sheetData>
  <mergeCells count="3">
    <mergeCell ref="A1:D1"/>
    <mergeCell ref="A13:D13"/>
    <mergeCell ref="A2:D2"/>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18"/>
  <sheetViews>
    <sheetView workbookViewId="0">
      <selection activeCell="A1" sqref="A1"/>
    </sheetView>
  </sheetViews>
  <sheetFormatPr baseColWidth="8" defaultColWidth="12.63" defaultRowHeight="15.75" customHeight="1"/>
  <cols>
    <col width="106.25" customWidth="1" style="227" min="1" max="1"/>
    <col width="13.75" customWidth="1" style="227" min="2" max="2"/>
    <col width="11.25" customWidth="1" style="227" min="3" max="3"/>
    <col width="16.13" customWidth="1" style="227" min="4" max="5"/>
    <col width="15.38" customWidth="1" style="227" min="6" max="6"/>
    <col width="14.63" customWidth="1" style="227" min="7" max="7"/>
  </cols>
  <sheetData>
    <row r="1">
      <c r="A1" s="27" t="inlineStr">
        <is>
          <t>Galaxy CNN 61K (CNN only Large): measured results</t>
        </is>
      </c>
      <c r="H1" s="4" t="n"/>
      <c r="I1" s="4" t="n"/>
    </row>
    <row r="2">
      <c r="A2" s="28" t="inlineStr">
        <is>
          <t>Conv stem with im2col and GEMM, group norm, GELU, global average pool, linear head. RiscvMinorCPU, 100 MHz, VLEN 256, 22 nm, fp 0.60, one inference.</t>
        </is>
      </c>
      <c r="H2" s="4" t="n"/>
      <c r="I2" s="4" t="n"/>
    </row>
    <row r="3">
      <c r="A3" s="4" t="n"/>
      <c r="B3" s="4" t="n"/>
      <c r="C3" s="4" t="n"/>
      <c r="D3" s="4" t="n"/>
      <c r="E3" s="4" t="n"/>
      <c r="F3" s="4" t="n"/>
      <c r="G3" s="4" t="n"/>
      <c r="H3" s="4" t="n"/>
      <c r="I3" s="4" t="n"/>
    </row>
    <row r="4">
      <c r="A4" s="31" t="inlineStr">
        <is>
          <t>Build</t>
        </is>
      </c>
      <c r="B4" s="31" t="inlineStr">
        <is>
          <t>Committed instr</t>
        </is>
      </c>
      <c r="C4" s="31" t="inlineStr">
        <is>
          <t>Exec time (s)</t>
        </is>
      </c>
      <c r="D4" s="31" t="inlineStr">
        <is>
          <t>Runtime power (W)</t>
        </is>
      </c>
      <c r="E4" s="31" t="inlineStr">
        <is>
          <t>Energy per inf (mJ)</t>
        </is>
      </c>
      <c r="F4" s="31" t="inlineStr">
        <is>
          <t>Throughput (inf/s)</t>
        </is>
      </c>
      <c r="G4" s="31" t="inlineStr">
        <is>
          <t>EDP (mJ times s)</t>
        </is>
      </c>
      <c r="H4" s="4" t="n"/>
      <c r="I4" s="4" t="n"/>
    </row>
    <row r="5">
      <c r="A5" s="33" t="inlineStr">
        <is>
          <t>RVV</t>
        </is>
      </c>
      <c r="B5" s="35" t="n">
        <v>53825016</v>
      </c>
      <c r="C5" s="37" t="n">
        <v>0.8221000000000001</v>
      </c>
      <c r="D5" s="37" t="n">
        <v>0.010009</v>
      </c>
      <c r="E5" s="37" t="n">
        <v>8.228</v>
      </c>
      <c r="F5" s="37" t="n">
        <v>1.216</v>
      </c>
      <c r="G5" s="37" t="n">
        <v>6.765</v>
      </c>
      <c r="H5" s="4" t="n"/>
      <c r="I5" s="4" t="n"/>
    </row>
    <row r="6">
      <c r="A6" s="33" t="inlineStr">
        <is>
          <t>Scalar</t>
        </is>
      </c>
      <c r="B6" s="35" t="n">
        <v>318995445</v>
      </c>
      <c r="C6" s="37" t="n">
        <v>10.547</v>
      </c>
      <c r="D6" s="37" t="n">
        <v>0.005801</v>
      </c>
      <c r="E6" s="37" t="n">
        <v>61.183</v>
      </c>
      <c r="F6" s="37" t="n">
        <v>0.095</v>
      </c>
      <c r="G6" s="37" t="n">
        <v>645.294</v>
      </c>
      <c r="H6" s="4" t="n"/>
      <c r="I6" s="4" t="n"/>
    </row>
    <row r="7">
      <c r="A7" s="4" t="n"/>
      <c r="B7" s="4" t="n"/>
      <c r="C7" s="4" t="n"/>
      <c r="D7" s="4" t="n"/>
      <c r="E7" s="4" t="n"/>
      <c r="F7" s="4" t="n"/>
      <c r="G7" s="4" t="n"/>
      <c r="H7" s="4" t="n"/>
      <c r="I7" s="4" t="n"/>
    </row>
    <row r="8">
      <c r="A8" s="40" t="inlineStr">
        <is>
          <t>RVV advantage (scalar divided by RVV)</t>
        </is>
      </c>
      <c r="B8" s="4" t="n"/>
      <c r="C8" s="4" t="n"/>
      <c r="D8" s="4" t="n"/>
      <c r="E8" s="4" t="n"/>
      <c r="F8" s="4" t="n"/>
      <c r="G8" s="4" t="n"/>
      <c r="H8" s="4" t="n"/>
      <c r="I8" s="4" t="n"/>
    </row>
    <row r="9">
      <c r="A9" s="31" t="inlineStr">
        <is>
          <t>Fewer instructions</t>
        </is>
      </c>
      <c r="B9" s="31" t="inlineStr">
        <is>
          <t>Faster (time)</t>
        </is>
      </c>
      <c r="C9" s="31" t="inlineStr">
        <is>
          <t>Less energy</t>
        </is>
      </c>
      <c r="D9" s="4" t="n"/>
      <c r="E9" s="4" t="n"/>
      <c r="F9" s="4" t="n"/>
      <c r="G9" s="4" t="n"/>
      <c r="H9" s="4" t="n"/>
      <c r="I9" s="4" t="n"/>
    </row>
    <row r="10">
      <c r="A10" s="44" t="inlineStr">
        <is>
          <t>5.93x</t>
        </is>
      </c>
      <c r="B10" s="44" t="inlineStr">
        <is>
          <t>12.83x</t>
        </is>
      </c>
      <c r="C10" s="44" t="inlineStr">
        <is>
          <t>7.44x</t>
        </is>
      </c>
      <c r="D10" s="4" t="n"/>
      <c r="E10" s="4" t="n"/>
      <c r="F10" s="4" t="n"/>
      <c r="G10" s="4" t="n"/>
      <c r="H10" s="4" t="n"/>
      <c r="I10" s="4" t="n"/>
    </row>
    <row r="11">
      <c r="A11" s="4" t="n"/>
      <c r="B11" s="4" t="n"/>
      <c r="C11" s="4" t="n"/>
      <c r="D11" s="4" t="n"/>
      <c r="E11" s="4" t="n"/>
      <c r="F11" s="4" t="n"/>
      <c r="G11" s="4" t="n"/>
      <c r="H11" s="4" t="n"/>
      <c r="I11" s="4" t="n"/>
    </row>
    <row r="12">
      <c r="A12" s="40" t="inlineStr">
        <is>
          <t>Fixed hardware (same core template for both builds, same as S4D)</t>
        </is>
      </c>
      <c r="B12" s="4" t="n"/>
      <c r="C12" s="4" t="n"/>
      <c r="D12" s="4" t="n"/>
      <c r="E12" s="4" t="n"/>
      <c r="F12" s="4" t="n"/>
      <c r="G12" s="4" t="n"/>
      <c r="H12" s="4" t="n"/>
      <c r="I12" s="4" t="n"/>
    </row>
    <row r="13">
      <c r="A13" s="38" t="inlineStr">
        <is>
          <t>Area</t>
        </is>
      </c>
      <c r="B13" s="45" t="inlineStr">
        <is>
          <t>1.56708 mm2</t>
        </is>
      </c>
      <c r="C13" s="4" t="n"/>
      <c r="D13" s="4" t="n"/>
      <c r="E13" s="4" t="n"/>
      <c r="F13" s="4" t="n"/>
      <c r="G13" s="4" t="n"/>
      <c r="H13" s="4" t="n"/>
      <c r="I13" s="4" t="n"/>
    </row>
    <row r="14">
      <c r="A14" s="38" t="inlineStr">
        <is>
          <t>Peak dynamic</t>
        </is>
      </c>
      <c r="B14" s="45" t="inlineStr">
        <is>
          <t>0.0590695 W</t>
        </is>
      </c>
      <c r="C14" s="4" t="n"/>
      <c r="D14" s="4" t="n"/>
      <c r="E14" s="4" t="n"/>
      <c r="F14" s="4" t="n"/>
      <c r="G14" s="4" t="n"/>
      <c r="H14" s="4" t="n"/>
      <c r="I14" s="4" t="n"/>
    </row>
    <row r="15">
      <c r="A15" s="38" t="inlineStr">
        <is>
          <t>Total leakage</t>
        </is>
      </c>
      <c r="B15" s="45" t="inlineStr">
        <is>
          <t>0.00156608 W</t>
        </is>
      </c>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I17"/>
  <sheetViews>
    <sheetView workbookViewId="0">
      <selection activeCell="A1" sqref="A1"/>
    </sheetView>
  </sheetViews>
  <sheetFormatPr baseColWidth="8" defaultColWidth="12.63" defaultRowHeight="15.75" customHeight="1"/>
  <cols>
    <col width="94.13" customWidth="1" style="227" min="1" max="1"/>
    <col width="10.25" customWidth="1" style="227" min="2" max="2"/>
    <col width="13.75" customWidth="1" style="227" min="3" max="3"/>
    <col width="11.25" customWidth="1" style="227" min="4" max="4"/>
    <col width="16.13" customWidth="1" style="227" min="5" max="6"/>
    <col width="15.38" customWidth="1" style="227" min="7" max="7"/>
    <col width="14.63" customWidth="1" style="227" min="8" max="8"/>
  </cols>
  <sheetData>
    <row r="1">
      <c r="A1" s="27" t="inlineStr">
        <is>
          <t>S4D galaxy classifier: measured results (d64 and d108)</t>
        </is>
      </c>
      <c r="I1" s="4" t="n"/>
    </row>
    <row r="2">
      <c r="A2" s="28" t="inlineStr">
        <is>
          <t>State space S4D model. Same pipeline and assumptions as the CNN. Values match the earlier S4D workbook.</t>
        </is>
      </c>
      <c r="I2" s="4" t="n"/>
    </row>
    <row r="3">
      <c r="A3" s="4" t="n"/>
      <c r="B3" s="4" t="n"/>
      <c r="C3" s="4" t="n"/>
      <c r="D3" s="4" t="n"/>
      <c r="E3" s="4" t="n"/>
      <c r="F3" s="4" t="n"/>
      <c r="G3" s="4" t="n"/>
      <c r="H3" s="4" t="n"/>
      <c r="I3" s="4" t="n"/>
    </row>
    <row r="4">
      <c r="A4" s="31" t="inlineStr">
        <is>
          <t>Model</t>
        </is>
      </c>
      <c r="B4" s="31" t="inlineStr">
        <is>
          <t>Build</t>
        </is>
      </c>
      <c r="C4" s="31" t="inlineStr">
        <is>
          <t>Committed instr</t>
        </is>
      </c>
      <c r="D4" s="31" t="inlineStr">
        <is>
          <t>Exec time (s)</t>
        </is>
      </c>
      <c r="E4" s="31" t="inlineStr">
        <is>
          <t>Runtime power (W)</t>
        </is>
      </c>
      <c r="F4" s="31" t="inlineStr">
        <is>
          <t>Energy per inf (mJ)</t>
        </is>
      </c>
      <c r="G4" s="31" t="inlineStr">
        <is>
          <t>Throughput (inf/s)</t>
        </is>
      </c>
      <c r="H4" s="31" t="inlineStr">
        <is>
          <t>EDP (mJ times s)</t>
        </is>
      </c>
      <c r="I4" s="4" t="n"/>
    </row>
    <row r="5">
      <c r="A5" s="42" t="inlineStr">
        <is>
          <t>d64</t>
        </is>
      </c>
      <c r="B5" s="36" t="inlineStr">
        <is>
          <t>RVV</t>
        </is>
      </c>
      <c r="C5" s="34" t="n">
        <v>33082055</v>
      </c>
      <c r="D5" s="41" t="n">
        <v>0.3827</v>
      </c>
      <c r="E5" s="41" t="n">
        <v>0.010952</v>
      </c>
      <c r="F5" s="41" t="n">
        <v>4.191</v>
      </c>
      <c r="G5" s="41" t="n">
        <v>2.613</v>
      </c>
      <c r="H5" s="41" t="n">
        <v>1.604</v>
      </c>
      <c r="I5" s="4" t="n"/>
    </row>
    <row r="6">
      <c r="A6" s="33" t="inlineStr">
        <is>
          <t>d64</t>
        </is>
      </c>
      <c r="B6" s="44" t="inlineStr">
        <is>
          <t>Scalar</t>
        </is>
      </c>
      <c r="C6" s="35" t="n">
        <v>152657262</v>
      </c>
      <c r="D6" s="37" t="n">
        <v>2.4981</v>
      </c>
      <c r="E6" s="37" t="n">
        <v>0.008756</v>
      </c>
      <c r="F6" s="37" t="n">
        <v>21.874</v>
      </c>
      <c r="G6" s="37" t="n">
        <v>0.4</v>
      </c>
      <c r="H6" s="37" t="n">
        <v>54.644</v>
      </c>
      <c r="I6" s="4" t="n"/>
    </row>
    <row r="7">
      <c r="A7" s="42" t="inlineStr">
        <is>
          <t>d108</t>
        </is>
      </c>
      <c r="B7" s="36" t="inlineStr">
        <is>
          <t>RVV</t>
        </is>
      </c>
      <c r="C7" s="34" t="n">
        <v>19948328</v>
      </c>
      <c r="D7" s="41" t="n">
        <v>0.2865</v>
      </c>
      <c r="E7" s="41" t="n">
        <v>0.009934999999999999</v>
      </c>
      <c r="F7" s="41" t="n">
        <v>2.846</v>
      </c>
      <c r="G7" s="41" t="n">
        <v>3.491</v>
      </c>
      <c r="H7" s="41" t="n">
        <v>0.8149999999999999</v>
      </c>
      <c r="I7" s="4" t="n"/>
    </row>
    <row r="8">
      <c r="A8" s="33" t="inlineStr">
        <is>
          <t>d108</t>
        </is>
      </c>
      <c r="B8" s="44" t="inlineStr">
        <is>
          <t>Scalar</t>
        </is>
      </c>
      <c r="C8" s="35" t="n">
        <v>33051024</v>
      </c>
      <c r="D8" s="37" t="n">
        <v>0.5319</v>
      </c>
      <c r="E8" s="37" t="n">
        <v>0.008931</v>
      </c>
      <c r="F8" s="37" t="n">
        <v>4.75</v>
      </c>
      <c r="G8" s="37" t="n">
        <v>1.88</v>
      </c>
      <c r="H8" s="37" t="n">
        <v>2.527</v>
      </c>
      <c r="I8" s="4" t="n"/>
    </row>
    <row r="9">
      <c r="A9" s="4" t="n"/>
      <c r="B9" s="4" t="n"/>
      <c r="C9" s="4" t="n"/>
      <c r="D9" s="4" t="n"/>
      <c r="E9" s="4" t="n"/>
      <c r="F9" s="4" t="n"/>
      <c r="G9" s="4" t="n"/>
      <c r="H9" s="4" t="n"/>
      <c r="I9" s="4" t="n"/>
    </row>
    <row r="10">
      <c r="A10" s="4" t="n"/>
      <c r="B10" s="4" t="n"/>
      <c r="C10" s="4" t="n"/>
      <c r="D10" s="4" t="n"/>
      <c r="E10" s="4" t="n"/>
      <c r="F10" s="4" t="n"/>
      <c r="G10" s="4" t="n"/>
      <c r="H10" s="4" t="n"/>
      <c r="I10" s="4" t="n"/>
    </row>
    <row r="11">
      <c r="A11" s="40" t="inlineStr">
        <is>
          <t>RVV advantage (scalar divided by RVV)</t>
        </is>
      </c>
      <c r="B11" s="4" t="n"/>
      <c r="C11" s="33" t="inlineStr">
        <is>
          <t>Fewer instr</t>
        </is>
      </c>
      <c r="D11" s="33" t="inlineStr">
        <is>
          <t>Faster</t>
        </is>
      </c>
      <c r="E11" s="33" t="inlineStr">
        <is>
          <t>Less energy</t>
        </is>
      </c>
      <c r="F11" s="4" t="n"/>
      <c r="G11" s="4" t="n"/>
      <c r="H11" s="4" t="n"/>
      <c r="I11" s="4" t="n"/>
    </row>
    <row r="12">
      <c r="A12" s="33" t="inlineStr">
        <is>
          <t>d64</t>
        </is>
      </c>
      <c r="B12" s="44" t="inlineStr">
        <is>
          <t>scalar / RVV</t>
        </is>
      </c>
      <c r="C12" s="44" t="inlineStr">
        <is>
          <t>4.61x</t>
        </is>
      </c>
      <c r="D12" s="44" t="inlineStr">
        <is>
          <t>6.53x</t>
        </is>
      </c>
      <c r="E12" s="44" t="inlineStr">
        <is>
          <t>5.22x</t>
        </is>
      </c>
      <c r="F12" s="4" t="n"/>
      <c r="G12" s="4" t="n"/>
      <c r="H12" s="4" t="n"/>
      <c r="I12" s="4" t="n"/>
    </row>
    <row r="13">
      <c r="A13" s="33" t="inlineStr">
        <is>
          <t>d108</t>
        </is>
      </c>
      <c r="B13" s="44" t="inlineStr">
        <is>
          <t>scalar / RVV</t>
        </is>
      </c>
      <c r="C13" s="44" t="inlineStr">
        <is>
          <t>1.66x</t>
        </is>
      </c>
      <c r="D13" s="44" t="inlineStr">
        <is>
          <t>1.86x</t>
        </is>
      </c>
      <c r="E13" s="44" t="inlineStr">
        <is>
          <t>1.67x</t>
        </is>
      </c>
      <c r="F13" s="4" t="n"/>
      <c r="G13" s="4" t="n"/>
      <c r="H13" s="4" t="n"/>
      <c r="I13" s="4" t="n"/>
    </row>
    <row r="14">
      <c r="A14" s="4" t="n"/>
      <c r="B14" s="4" t="n"/>
      <c r="C14" s="4" t="n"/>
      <c r="D14" s="4" t="n"/>
      <c r="E14" s="4" t="n"/>
      <c r="F14" s="4" t="n"/>
      <c r="G14" s="4" t="n"/>
      <c r="H14" s="4" t="n"/>
      <c r="I14" s="4" t="n"/>
    </row>
    <row r="15">
      <c r="A15" s="46" t="inlineStr">
        <is>
          <t>d108 accuracy on GalaxyMNIST test set (2000 images): PyTorch 82.2 percent, C model 82.2 percent, agreement 100 percent.</t>
        </is>
      </c>
      <c r="I15" s="4" t="n"/>
    </row>
    <row r="16">
      <c r="A16" s="4" t="n"/>
      <c r="B16" s="4" t="n"/>
      <c r="C16" s="4" t="n"/>
      <c r="D16" s="4" t="n"/>
      <c r="E16" s="4" t="n"/>
      <c r="F16" s="4" t="n"/>
      <c r="G16" s="4" t="n"/>
      <c r="H16" s="4" t="n"/>
      <c r="I16" s="4" t="n"/>
    </row>
    <row r="17">
      <c r="A17" s="4" t="n"/>
      <c r="B17" s="4" t="n"/>
      <c r="C17" s="4" t="n"/>
      <c r="D17" s="4" t="n"/>
      <c r="E17" s="4" t="n"/>
      <c r="F17" s="4" t="n"/>
      <c r="G17" s="4" t="n"/>
      <c r="H17" s="4" t="n"/>
      <c r="I17" s="4" t="n"/>
    </row>
  </sheetData>
  <mergeCells count="3">
    <mergeCell ref="A1:H1"/>
    <mergeCell ref="A2:H2"/>
    <mergeCell ref="A15:H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12" customWidth="1" style="227" min="1" max="1"/>
    <col width="10" customWidth="1" style="227" min="2" max="2"/>
    <col width="18" customWidth="1" style="227" min="3" max="3"/>
    <col width="14" customWidth="1" style="227" min="4" max="4"/>
    <col width="17" customWidth="1" style="227" min="5" max="5"/>
    <col width="18" customWidth="1" style="227" min="6" max="6"/>
    <col width="16" customWidth="1" style="227" min="7" max="7"/>
    <col width="16" customWidth="1" style="227" min="8" max="8"/>
  </cols>
  <sheetData>
    <row r="1">
      <c r="A1" s="231" t="inlineStr">
        <is>
          <t>Controlled experiment: d64 vs d108 at a FIXED sequence length (256)</t>
        </is>
      </c>
    </row>
    <row r="2">
      <c r="A2" s="232" t="inlineStr">
        <is>
          <t>Both models use 256 tokens (4x4 patches), so the only variables are width and depth. Isolates model size from sequence length. RiscvMinorCPU, VLEN 256, 22 nm, fp 0.60, one inference.</t>
        </is>
      </c>
    </row>
    <row r="4">
      <c r="A4" s="233" t="inlineStr">
        <is>
          <t>Model</t>
        </is>
      </c>
      <c r="B4" s="233" t="inlineStr">
        <is>
          <t>Build</t>
        </is>
      </c>
      <c r="C4" s="233" t="inlineStr">
        <is>
          <t>Committed instr</t>
        </is>
      </c>
      <c r="D4" s="233" t="inlineStr">
        <is>
          <t>Exec time (s)</t>
        </is>
      </c>
      <c r="E4" s="233" t="inlineStr">
        <is>
          <t>Runtime power (W)</t>
        </is>
      </c>
      <c r="F4" s="233" t="inlineStr">
        <is>
          <t>Energy per inf (mJ)</t>
        </is>
      </c>
      <c r="G4" s="233" t="inlineStr">
        <is>
          <t>Throughput (inf/s)</t>
        </is>
      </c>
      <c r="H4" s="233" t="inlineStr">
        <is>
          <t>EDP (mJ times s)</t>
        </is>
      </c>
    </row>
    <row r="5">
      <c r="A5" s="234" t="inlineStr">
        <is>
          <t>d64_seq256</t>
        </is>
      </c>
      <c r="B5" s="235" t="inlineStr">
        <is>
          <t>RVV</t>
        </is>
      </c>
      <c r="C5" s="236" t="n">
        <v>6268591</v>
      </c>
      <c r="D5" s="237" t="n">
        <v>0.08339000000000001</v>
      </c>
      <c r="E5" s="238" t="n">
        <v>0.0111675</v>
      </c>
      <c r="F5" s="239" t="n">
        <v>0.9312578250000001</v>
      </c>
      <c r="G5" s="239" t="n">
        <v>11.99184554502938</v>
      </c>
      <c r="H5" s="239" t="n">
        <v>0.07765759002675002</v>
      </c>
    </row>
    <row r="6">
      <c r="A6" s="240" t="inlineStr">
        <is>
          <t>d64_seq256</t>
        </is>
      </c>
      <c r="B6" s="241" t="inlineStr">
        <is>
          <t>Scalar</t>
        </is>
      </c>
      <c r="C6" s="242" t="n">
        <v>12475543</v>
      </c>
      <c r="D6" s="243" t="n">
        <v>0.201427</v>
      </c>
      <c r="E6" s="244" t="n">
        <v>0.00958645</v>
      </c>
      <c r="F6" s="245" t="n">
        <v>1.93096986415</v>
      </c>
      <c r="G6" s="245" t="n">
        <v>4.964577737840508</v>
      </c>
      <c r="H6" s="245" t="n">
        <v>0.388949466826142</v>
      </c>
    </row>
    <row r="7">
      <c r="A7" s="234" t="inlineStr">
        <is>
          <t>d108_seq256</t>
        </is>
      </c>
      <c r="B7" s="235" t="inlineStr">
        <is>
          <t>RVV</t>
        </is>
      </c>
      <c r="C7" s="236" t="n">
        <v>19948310</v>
      </c>
      <c r="D7" s="237" t="n">
        <v>0.286467</v>
      </c>
      <c r="E7" s="238" t="n">
        <v>0.0105062</v>
      </c>
      <c r="F7" s="239" t="n">
        <v>3.009679595400001</v>
      </c>
      <c r="G7" s="239" t="n">
        <v>3.490803478236586</v>
      </c>
      <c r="H7" s="239" t="n">
        <v>0.8621738846554521</v>
      </c>
    </row>
    <row r="8">
      <c r="A8" s="240" t="inlineStr">
        <is>
          <t>d108_seq256</t>
        </is>
      </c>
      <c r="B8" s="241" t="inlineStr">
        <is>
          <t>Scalar</t>
        </is>
      </c>
      <c r="C8" s="242" t="n">
        <v>33053634</v>
      </c>
      <c r="D8" s="243" t="n">
        <v>0.53195</v>
      </c>
      <c r="E8" s="244" t="n">
        <v>0.00961045</v>
      </c>
      <c r="F8" s="245" t="n">
        <v>5.112278877500001</v>
      </c>
      <c r="G8" s="245" t="n">
        <v>1.879875928188739</v>
      </c>
      <c r="H8" s="245" t="n">
        <v>2.719476748886125</v>
      </c>
    </row>
    <row r="10">
      <c r="A10" s="246" t="inlineStr">
        <is>
          <t>Controlled comparison at fixed sequence 256 (RVV builds)</t>
        </is>
      </c>
    </row>
    <row r="11">
      <c r="A11" s="233" t="inlineStr">
        <is>
          <t>Metric</t>
        </is>
      </c>
      <c r="B11" s="233" t="inlineStr">
        <is>
          <t>d64_seq256</t>
        </is>
      </c>
      <c r="C11" s="233" t="inlineStr">
        <is>
          <t>d108_seq256</t>
        </is>
      </c>
      <c r="D11" s="233" t="inlineStr">
        <is>
          <t>d108 / d64</t>
        </is>
      </c>
    </row>
    <row r="12">
      <c r="A12" s="247" t="inlineStr">
        <is>
          <t>Committed instructions</t>
        </is>
      </c>
      <c r="B12" s="242" t="n">
        <v>6268591</v>
      </c>
      <c r="C12" s="242" t="n">
        <v>19948310</v>
      </c>
      <c r="D12" s="248" t="n">
        <v>3.182263765493713</v>
      </c>
    </row>
    <row r="13">
      <c r="A13" s="247" t="inlineStr">
        <is>
          <t>Execution time (s)</t>
        </is>
      </c>
      <c r="B13" s="243" t="n">
        <v>0.08339000000000001</v>
      </c>
      <c r="C13" s="243" t="n">
        <v>0.286467</v>
      </c>
      <c r="D13" s="248" t="n">
        <v>3.435268017747931</v>
      </c>
    </row>
    <row r="14">
      <c r="A14" s="247" t="inlineStr">
        <is>
          <t>Energy per inference (mJ)</t>
        </is>
      </c>
      <c r="B14" s="245" t="n">
        <v>0.9312578250000001</v>
      </c>
      <c r="C14" s="245" t="n">
        <v>3.009679595400001</v>
      </c>
      <c r="D14" s="248" t="n">
        <v>3.231843550307886</v>
      </c>
    </row>
    <row r="15">
      <c r="A15" s="247" t="inlineStr">
        <is>
          <t>Accuracy (PyTorch)</t>
        </is>
      </c>
      <c r="B15" s="249" t="n">
        <v>0.796</v>
      </c>
      <c r="C15" s="249" t="n">
        <v>0.8085</v>
      </c>
      <c r="D15" s="250" t="n">
        <v>0.01249999999999996</v>
      </c>
    </row>
    <row r="16" ht="44" customHeight="1" s="227">
      <c r="A16" s="251" t="inlineStr">
        <is>
          <t>Reading: at a fixed 256 token sequence the larger model (108 wide, 3 layers) costs 3.2 times the instructions and 3.2 times the energy of the smaller (64 wide, 2 layers), for 1.25 points of accuracy. The earlier speed gap was the sequence length, not the width.</t>
        </is>
      </c>
    </row>
    <row r="18">
      <c r="A18" s="246" t="inlineStr">
        <is>
          <t>RVV advantage at fixed sequence 256 (scalar divided by RVV)</t>
        </is>
      </c>
    </row>
    <row r="19">
      <c r="A19" s="233" t="inlineStr">
        <is>
          <t>Model</t>
        </is>
      </c>
      <c r="B19" s="233" t="inlineStr">
        <is>
          <t>Fewer instructions</t>
        </is>
      </c>
      <c r="C19" s="233" t="inlineStr">
        <is>
          <t>Faster (time)</t>
        </is>
      </c>
      <c r="D19" s="233" t="inlineStr">
        <is>
          <t>Less energy</t>
        </is>
      </c>
    </row>
    <row r="20">
      <c r="A20" s="247" t="inlineStr">
        <is>
          <t>d64_seq256</t>
        </is>
      </c>
      <c r="B20" s="248" t="n">
        <v>1.990167008822238</v>
      </c>
      <c r="C20" s="248" t="n">
        <v>2.415481472598633</v>
      </c>
      <c r="D20" s="248" t="n">
        <v>2.073507263308096</v>
      </c>
    </row>
    <row r="21">
      <c r="A21" s="247" t="inlineStr">
        <is>
          <t>d108_seq256</t>
        </is>
      </c>
      <c r="B21" s="248" t="n">
        <v>1.656964123777904</v>
      </c>
      <c r="C21" s="248" t="n">
        <v>1.856932910247952</v>
      </c>
      <c r="D21" s="248" t="n">
        <v>1.698612332460112</v>
      </c>
    </row>
  </sheetData>
  <mergeCells count="3">
    <mergeCell ref="A16:H16"/>
    <mergeCell ref="A2:H2"/>
    <mergeCell ref="A1:H1"/>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C28"/>
  <sheetViews>
    <sheetView workbookViewId="0">
      <selection activeCell="A1" sqref="A1"/>
    </sheetView>
  </sheetViews>
  <sheetFormatPr baseColWidth="8" defaultColWidth="12.63" defaultRowHeight="15.75" customHeight="1"/>
  <cols>
    <col width="25.88" customWidth="1" style="227" min="1" max="1"/>
    <col width="146" customWidth="1" style="227" min="2" max="2"/>
  </cols>
  <sheetData>
    <row r="1">
      <c r="A1" s="27" t="inlineStr">
        <is>
          <t>Setup and notes</t>
        </is>
      </c>
      <c r="B1" s="4" t="n"/>
      <c r="C1" s="4" t="n"/>
    </row>
    <row r="2">
      <c r="A2" s="4" t="n"/>
      <c r="B2" s="4" t="n"/>
      <c r="C2" s="4" t="n"/>
    </row>
    <row r="3">
      <c r="A3" s="40" t="inlineStr">
        <is>
          <t>Measurement setup</t>
        </is>
      </c>
      <c r="B3" s="4" t="n"/>
      <c r="C3" s="4" t="n"/>
    </row>
    <row r="4">
      <c r="A4" s="47" t="inlineStr">
        <is>
          <t>CPU model</t>
        </is>
      </c>
      <c r="B4" s="46" t="inlineStr">
        <is>
          <t>RiscvMinorCPU, in order, single core</t>
        </is>
      </c>
      <c r="C4" s="4" t="n"/>
    </row>
    <row r="5">
      <c r="A5" s="47" t="inlineStr">
        <is>
          <t>Vector unit</t>
        </is>
      </c>
      <c r="B5" s="46" t="inlineStr">
        <is>
          <t>RVV 1.0, VLEN 256 bits, ELEN 32 bits</t>
        </is>
      </c>
      <c r="C5" s="4" t="n"/>
    </row>
    <row r="6">
      <c r="A6" s="47" t="inlineStr">
        <is>
          <t>Clock</t>
        </is>
      </c>
      <c r="B6" s="46" t="inlineStr">
        <is>
          <t>100 MHz (stand in for an embedded target)</t>
        </is>
      </c>
      <c r="C6" s="4" t="n"/>
    </row>
    <row r="7">
      <c r="A7" s="47" t="inlineStr">
        <is>
          <t>Process node</t>
        </is>
      </c>
      <c r="B7" s="46" t="inlineStr">
        <is>
          <t>22 nm (McPAT template, stand in)</t>
        </is>
      </c>
      <c r="C7" s="4" t="n"/>
    </row>
    <row r="8">
      <c r="A8" s="47" t="inlineStr">
        <is>
          <t>fp fraction</t>
        </is>
      </c>
      <c r="B8" s="46" t="inlineStr">
        <is>
          <t>0.60 (both models are float heavy)</t>
        </is>
      </c>
      <c r="C8" s="4" t="n"/>
    </row>
    <row r="9">
      <c r="A9" s="47" t="inlineStr">
        <is>
          <t>Cache</t>
        </is>
      </c>
      <c r="B9" s="46" t="inlineStr">
        <is>
          <t>private L1 instruction and data, 16 KiB each, no L2 or L3</t>
        </is>
      </c>
      <c r="C9" s="4" t="n"/>
    </row>
    <row r="10">
      <c r="A10" s="47" t="inlineStr">
        <is>
          <t>Workload</t>
        </is>
      </c>
      <c r="B10" s="46" t="inlineStr">
        <is>
          <t>one inference on one 64 by 64 image, compute is data independent</t>
        </is>
      </c>
      <c r="C10" s="4" t="n"/>
    </row>
    <row r="11">
      <c r="A11" s="47" t="inlineStr">
        <is>
          <t>Instruction count</t>
        </is>
      </c>
      <c r="B11" s="46" t="inlineStr">
        <is>
          <t>gem5 committed (retired) instructions</t>
        </is>
      </c>
      <c r="C11" s="4" t="n"/>
    </row>
    <row r="12">
      <c r="A12" s="4" t="n"/>
      <c r="B12" s="4" t="n"/>
      <c r="C12" s="4" t="n"/>
    </row>
    <row r="13">
      <c r="A13" s="40" t="inlineStr">
        <is>
          <t>What each metric means</t>
        </is>
      </c>
      <c r="B13" s="4" t="n"/>
      <c r="C13" s="4" t="n"/>
    </row>
    <row r="14">
      <c r="A14" s="47" t="inlineStr">
        <is>
          <t>Energy per inference</t>
        </is>
      </c>
      <c r="B14" s="46" t="inlineStr">
        <is>
          <t>Runtime dynamic power multiplied by execution time. Primary metric, in millijoules.</t>
        </is>
      </c>
      <c r="C14" s="4" t="n"/>
    </row>
    <row r="15">
      <c r="A15" s="47" t="inlineStr">
        <is>
          <t>Throughput</t>
        </is>
      </c>
      <c r="B15" s="46" t="inlineStr">
        <is>
          <t>One divided by execution time. Inferences per second.</t>
        </is>
      </c>
      <c r="C15" s="4" t="n"/>
    </row>
    <row r="16">
      <c r="A16" s="47" t="inlineStr">
        <is>
          <t>Energy delay product</t>
        </is>
      </c>
      <c r="B16" s="46" t="inlineStr">
        <is>
          <t>Energy multiplied by execution time. Lower is better.</t>
        </is>
      </c>
      <c r="C16" s="4" t="n"/>
    </row>
    <row r="17">
      <c r="A17" s="47" t="inlineStr">
        <is>
          <t>RVV advantage</t>
        </is>
      </c>
      <c r="B17" s="46" t="inlineStr">
        <is>
          <t>Scalar value divided by RVV value. How many times the vector build wins.</t>
        </is>
      </c>
      <c r="C17" s="4" t="n"/>
    </row>
    <row r="18">
      <c r="A18" s="4" t="n"/>
      <c r="B18" s="4" t="n"/>
      <c r="C18" s="4" t="n"/>
    </row>
    <row r="19">
      <c r="A19" s="40" t="inlineStr">
        <is>
          <t>What the comparison shows</t>
        </is>
      </c>
      <c r="B19" s="4" t="n"/>
      <c r="C19" s="4" t="n"/>
    </row>
    <row r="20">
      <c r="A20" s="4" t="n"/>
      <c r="B20" s="46" t="inlineStr">
        <is>
          <t>The CNN costs about 2.9 times the energy of S4D d108 per inference on the same core, so S4D is the more energy efficient architecture.</t>
        </is>
      </c>
      <c r="C20" s="4" t="n"/>
    </row>
    <row r="21">
      <c r="A21" s="4" t="n"/>
      <c r="B21" s="46" t="inlineStr">
        <is>
          <t>RVV helps the CNN far more than it helps S4D. On the CNN, RVV cuts energy by 7.44 times, while on S4D d108 it cuts energy by 1.67 times.</t>
        </is>
      </c>
      <c r="C21" s="4" t="n"/>
    </row>
    <row r="22">
      <c r="A22" s="4" t="n"/>
      <c r="B22" s="46" t="inlineStr">
        <is>
          <t>The reason is the workload. The CNN uses im2col and GEMM, which vectorize cleanly across many patches. The S4D scan is recurrent, so it has less width for the vector unit to exploit.</t>
        </is>
      </c>
      <c r="C22" s="4" t="n"/>
    </row>
    <row r="23">
      <c r="A23" s="4" t="n"/>
      <c r="B23" s="4" t="n"/>
      <c r="C23" s="4" t="n"/>
    </row>
    <row r="24">
      <c r="A24" s="40" t="inlineStr">
        <is>
          <t>Caveats</t>
        </is>
      </c>
      <c r="B24" s="4" t="n"/>
      <c r="C24" s="4" t="n"/>
    </row>
    <row r="25">
      <c r="A25" s="4" t="n"/>
      <c r="B25" s="46" t="inlineStr">
        <is>
          <t>Absolute watts depend on the 22 nm, 100 MHz and fp 0.60 assumptions. The RVV versus scalar and CNN versus S4D ratios are robust to these choices.</t>
        </is>
      </c>
      <c r="C25" s="4" t="n"/>
    </row>
    <row r="26">
      <c r="A26" s="4" t="n"/>
      <c r="B26" s="46" t="inlineStr">
        <is>
          <t>Only the MinorCPU results are reported. The out of order O3 model was excluded because its power needed many fabricated out of order statistics. The U74 board run produced an empty stats file.</t>
        </is>
      </c>
      <c r="C26" s="4" t="n"/>
    </row>
    <row r="27">
      <c r="A27" s="4" t="n"/>
      <c r="B27" s="46" t="inlineStr">
        <is>
          <t>The CNN accuracy on the GalaxyMNIST test set is not yet measured. It needs a separate run on the labelled test set, the same way S4D accuracy was measured.</t>
        </is>
      </c>
      <c r="C27" s="4" t="n"/>
    </row>
    <row r="28">
      <c r="A28" s="4" t="n"/>
      <c r="B28" s="4" t="n"/>
      <c r="C28" s="4"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Y1000"/>
  <sheetViews>
    <sheetView workbookViewId="0">
      <selection activeCell="A1" sqref="A1"/>
    </sheetView>
  </sheetViews>
  <sheetFormatPr baseColWidth="8" defaultColWidth="12.63" defaultRowHeight="15.75" customHeight="1"/>
  <cols>
    <col width="35.38" customWidth="1" style="227" min="4" max="4"/>
  </cols>
  <sheetData>
    <row r="1">
      <c r="A1" s="3" t="n"/>
      <c r="B1" s="3" t="n"/>
      <c r="C1" s="3" t="n"/>
      <c r="D1" s="3" t="n"/>
      <c r="E1" s="48" t="n"/>
      <c r="F1" s="48" t="n"/>
      <c r="G1" s="48" t="n"/>
      <c r="H1" s="48" t="n"/>
      <c r="I1" s="48" t="n"/>
      <c r="J1" s="48" t="n"/>
      <c r="K1" s="48" t="n"/>
      <c r="L1" s="49" t="n"/>
      <c r="M1" s="48" t="n"/>
      <c r="N1" s="48" t="n"/>
      <c r="O1" s="50" t="n"/>
      <c r="P1" s="3" t="n"/>
      <c r="Q1" s="3" t="n"/>
      <c r="R1" s="3" t="n"/>
      <c r="S1" s="3" t="n"/>
      <c r="T1" s="3" t="n"/>
      <c r="U1" s="3" t="n"/>
      <c r="V1" s="3" t="n"/>
      <c r="W1" s="3" t="n"/>
      <c r="X1" s="3" t="n"/>
      <c r="Y1" s="3" t="n"/>
    </row>
    <row r="2">
      <c r="A2" s="252" t="inlineStr">
        <is>
          <t>A</t>
        </is>
      </c>
      <c r="B2" s="54" t="n"/>
      <c r="C2" s="253" t="inlineStr">
        <is>
          <t>AA</t>
        </is>
      </c>
      <c r="D2" s="254" t="n"/>
      <c r="E2" s="255" t="inlineStr">
        <is>
          <t>S4 Summer Project Tracker</t>
        </is>
      </c>
      <c r="F2" s="256" t="n"/>
      <c r="G2" s="256" t="n"/>
      <c r="H2" s="256" t="n"/>
      <c r="I2" s="256" t="n"/>
      <c r="J2" s="256" t="n"/>
      <c r="K2" s="256" t="n"/>
      <c r="L2" s="256" t="n"/>
      <c r="M2" s="256" t="n"/>
      <c r="N2" s="256" t="n"/>
      <c r="O2" s="254" t="n"/>
      <c r="P2" s="3" t="n"/>
      <c r="Q2" s="3" t="n"/>
      <c r="R2" s="3" t="n"/>
      <c r="S2" s="3" t="n"/>
      <c r="T2" s="3" t="n"/>
      <c r="U2" s="3" t="n"/>
      <c r="V2" s="3" t="n"/>
      <c r="W2" s="3" t="n"/>
      <c r="X2" s="3" t="n"/>
      <c r="Y2" s="3" t="n"/>
    </row>
    <row r="3">
      <c r="A3" s="257" t="n"/>
      <c r="B3" s="64" t="n"/>
      <c r="C3" s="258" t="n"/>
      <c r="D3" s="259" t="n"/>
      <c r="E3" s="257" t="n"/>
      <c r="F3" s="258" t="n"/>
      <c r="G3" s="258" t="n"/>
      <c r="H3" s="258" t="n"/>
      <c r="I3" s="258" t="n"/>
      <c r="J3" s="258" t="n"/>
      <c r="K3" s="258" t="n"/>
      <c r="L3" s="258" t="n"/>
      <c r="M3" s="258" t="n"/>
      <c r="N3" s="258" t="n"/>
      <c r="O3" s="259" t="n"/>
      <c r="P3" s="3" t="n"/>
      <c r="Q3" s="3" t="n"/>
      <c r="R3" s="3" t="n"/>
      <c r="S3" s="3" t="n"/>
      <c r="T3" s="3" t="n"/>
      <c r="U3" s="3" t="n"/>
      <c r="V3" s="3" t="n"/>
      <c r="W3" s="3" t="n"/>
      <c r="X3" s="3" t="n"/>
      <c r="Y3" s="3" t="n"/>
    </row>
    <row r="4">
      <c r="A4" s="3" t="n"/>
      <c r="B4" s="3" t="n"/>
      <c r="C4" s="3" t="n"/>
      <c r="D4" s="3" t="n"/>
      <c r="E4" s="48" t="n"/>
      <c r="F4" s="48" t="n"/>
      <c r="G4" s="48" t="n"/>
      <c r="H4" s="48" t="n"/>
      <c r="I4" s="48" t="n"/>
      <c r="J4" s="48" t="n"/>
      <c r="K4" s="48" t="n"/>
      <c r="L4" s="49" t="n"/>
      <c r="M4" s="48" t="n"/>
      <c r="N4" s="48" t="n"/>
      <c r="O4" s="50" t="n"/>
      <c r="P4" s="3" t="n"/>
      <c r="Q4" s="3" t="n"/>
      <c r="R4" s="3" t="n"/>
      <c r="S4" s="3" t="n"/>
      <c r="T4" s="3" t="n"/>
      <c r="U4" s="3" t="n"/>
      <c r="V4" s="3" t="n"/>
      <c r="W4" s="3" t="n"/>
      <c r="X4" s="3" t="n"/>
      <c r="Y4" s="3" t="n"/>
    </row>
    <row r="5">
      <c r="A5" s="260" t="n"/>
      <c r="B5" s="261" t="n"/>
      <c r="C5" s="261" t="n"/>
      <c r="D5" s="262" t="n"/>
      <c r="E5" s="263" t="inlineStr">
        <is>
          <t>START DATE</t>
        </is>
      </c>
      <c r="F5" s="261" t="n"/>
      <c r="G5" s="262" t="n"/>
      <c r="H5" s="77" t="n"/>
      <c r="I5" s="77" t="n"/>
      <c r="J5" s="77" t="n"/>
      <c r="K5" s="79" t="inlineStr">
        <is>
          <t>26/06/26</t>
        </is>
      </c>
      <c r="L5" s="264" t="inlineStr">
        <is>
          <t xml:space="preserve">     COMPLETION BY TIME</t>
        </is>
      </c>
      <c r="M5" s="265" t="n"/>
      <c r="N5" s="266" t="n"/>
      <c r="O5" s="100">
        <f>iferror(if((TODAY()-K5)/(K6-K5)&lt;0,0,(TODAY()-K5)/(K6-K5)),0)</f>
        <v/>
      </c>
      <c r="P5" s="3" t="n"/>
      <c r="Q5" s="3" t="n"/>
      <c r="R5" s="3" t="n"/>
      <c r="S5" s="3" t="n"/>
      <c r="T5" s="3" t="n"/>
      <c r="U5" s="3" t="n"/>
      <c r="V5" s="3" t="n"/>
      <c r="W5" s="3" t="n"/>
      <c r="X5" s="3" t="n"/>
      <c r="Y5" s="3" t="n"/>
    </row>
    <row r="6">
      <c r="A6" s="267" t="inlineStr">
        <is>
          <t>Mentor: Syed Taha</t>
        </is>
      </c>
      <c r="B6" s="261" t="n"/>
      <c r="C6" s="261" t="n"/>
      <c r="D6" s="262" t="n"/>
      <c r="E6" s="263" t="inlineStr">
        <is>
          <t>COMPLETION DATE</t>
        </is>
      </c>
      <c r="F6" s="261" t="n"/>
      <c r="G6" s="262" t="n"/>
      <c r="H6" s="77" t="n"/>
      <c r="I6" s="77" t="n"/>
      <c r="J6" s="77" t="n"/>
      <c r="K6" s="79" t="inlineStr">
        <is>
          <t>15/10/26</t>
        </is>
      </c>
      <c r="L6" s="264" t="inlineStr">
        <is>
          <t xml:space="preserve">     COMPLETION BY STAGES</t>
        </is>
      </c>
      <c r="M6" s="265" t="n"/>
      <c r="N6" s="266" t="n"/>
      <c r="O6" s="100">
        <f>AVERAGE(N10,N18,N26,N34)</f>
        <v/>
      </c>
      <c r="P6" s="3" t="n"/>
      <c r="Q6" s="3" t="n"/>
      <c r="R6" s="3" t="n"/>
      <c r="S6" s="3" t="n"/>
      <c r="T6" s="3" t="n"/>
      <c r="U6" s="3" t="n"/>
      <c r="V6" s="3" t="n"/>
      <c r="W6" s="3" t="n"/>
      <c r="X6" s="3" t="n"/>
      <c r="Y6" s="3" t="n"/>
    </row>
    <row r="7">
      <c r="A7" s="48" t="n"/>
      <c r="B7" s="119" t="n"/>
      <c r="C7" s="119" t="n"/>
      <c r="D7" s="119" t="n"/>
      <c r="E7" s="48" t="n"/>
      <c r="F7" s="48" t="n"/>
      <c r="G7" s="48" t="n"/>
      <c r="H7" s="48" t="n"/>
      <c r="I7" s="48" t="n"/>
      <c r="J7" s="48" t="n"/>
      <c r="K7" s="48" t="n"/>
      <c r="L7" s="49" t="n"/>
      <c r="M7" s="48" t="n"/>
      <c r="N7" s="48" t="n"/>
      <c r="O7" s="121" t="n"/>
      <c r="P7" s="3" t="n"/>
      <c r="Q7" s="3" t="n"/>
      <c r="R7" s="3" t="n"/>
      <c r="S7" s="3" t="n"/>
      <c r="T7" s="3" t="n"/>
      <c r="U7" s="3" t="n"/>
      <c r="V7" s="3" t="n"/>
      <c r="W7" s="3" t="n"/>
      <c r="X7" s="3" t="n"/>
      <c r="Y7" s="3" t="n"/>
    </row>
    <row r="8">
      <c r="A8" s="125" t="inlineStr">
        <is>
          <t>PROJECT DATA</t>
        </is>
      </c>
      <c r="B8" s="268" t="n"/>
      <c r="C8" s="268" t="n"/>
      <c r="D8" s="268" t="n"/>
      <c r="E8" s="268" t="n"/>
      <c r="F8" s="268" t="n"/>
      <c r="G8" s="268" t="n"/>
      <c r="H8" s="268" t="n"/>
      <c r="I8" s="268" t="n"/>
      <c r="J8" s="268" t="n"/>
      <c r="K8" s="268" t="n"/>
      <c r="L8" s="268" t="n"/>
      <c r="M8" s="268" t="n"/>
      <c r="N8" s="268" t="n"/>
      <c r="O8" s="268" t="n"/>
      <c r="P8" s="3" t="n"/>
      <c r="Q8" s="3" t="n"/>
      <c r="R8" s="3" t="n"/>
      <c r="S8" s="3" t="n"/>
      <c r="T8" s="3" t="n"/>
      <c r="U8" s="3" t="n"/>
      <c r="V8" s="3" t="n"/>
      <c r="W8" s="3" t="n"/>
      <c r="X8" s="3" t="n"/>
      <c r="Y8" s="3" t="n"/>
    </row>
    <row r="9">
      <c r="A9" s="136" t="inlineStr">
        <is>
          <t>STATUS</t>
        </is>
      </c>
      <c r="B9" s="136" t="inlineStr">
        <is>
          <t>PRIORITY</t>
        </is>
      </c>
      <c r="C9" s="269" t="n"/>
      <c r="D9" s="136" t="inlineStr">
        <is>
          <t>TASK</t>
        </is>
      </c>
      <c r="E9" s="136" t="inlineStr">
        <is>
          <t>START 
DATE</t>
        </is>
      </c>
      <c r="F9" s="136" t="inlineStr">
        <is>
          <t>DURATION, days</t>
        </is>
      </c>
      <c r="G9" s="136" t="inlineStr">
        <is>
          <t>COMPLETION DATE</t>
        </is>
      </c>
      <c r="H9" s="141" t="n"/>
      <c r="I9" s="141" t="n"/>
      <c r="J9" s="141" t="n"/>
      <c r="K9" s="136" t="inlineStr">
        <is>
          <t>DIFFICULTY</t>
        </is>
      </c>
      <c r="L9" s="143" t="inlineStr">
        <is>
          <t>MILESTONE DATE</t>
        </is>
      </c>
      <c r="M9" s="136" t="inlineStr">
        <is>
          <t>PERFORMER</t>
        </is>
      </c>
      <c r="N9" s="145" t="inlineStr">
        <is>
          <t>% of completion</t>
        </is>
      </c>
      <c r="O9" s="145" t="inlineStr">
        <is>
          <t>PROGRESS</t>
        </is>
      </c>
      <c r="P9" s="3" t="n"/>
      <c r="Q9" s="3" t="n"/>
      <c r="R9" s="3" t="n"/>
      <c r="S9" s="3" t="n"/>
      <c r="T9" s="3" t="n"/>
      <c r="U9" s="3" t="n"/>
      <c r="V9" s="3" t="n"/>
      <c r="W9" s="3" t="n"/>
      <c r="X9" s="3" t="n"/>
      <c r="Y9" s="3" t="n"/>
    </row>
    <row r="10">
      <c r="A10" s="148" t="inlineStr">
        <is>
          <t>Stage 1</t>
        </is>
      </c>
      <c r="B10" s="150" t="n"/>
      <c r="C10" s="150" t="n"/>
      <c r="D10" s="150" t="n"/>
      <c r="E10" s="150" t="n"/>
      <c r="F10" s="150" t="n"/>
      <c r="G10" s="150" t="n"/>
      <c r="H10" s="150" t="n"/>
      <c r="I10" s="150" t="n"/>
      <c r="J10" s="150" t="n"/>
      <c r="K10" s="150" t="n"/>
      <c r="L10" s="153" t="n"/>
      <c r="M10" s="150" t="n"/>
      <c r="N10" s="160">
        <f>AVERAGE(N11:N17)</f>
        <v/>
      </c>
      <c r="O10" s="162" t="n"/>
      <c r="P10" s="3" t="n"/>
      <c r="Q10" s="3" t="n"/>
      <c r="R10" s="3" t="n"/>
      <c r="S10" s="3" t="n"/>
      <c r="T10" s="3" t="n"/>
      <c r="U10" s="3" t="n"/>
      <c r="V10" s="3" t="n"/>
      <c r="W10" s="3" t="n"/>
      <c r="X10" s="3" t="n"/>
      <c r="Y10" s="3" t="n"/>
    </row>
    <row r="11">
      <c r="A11" s="182" t="inlineStr">
        <is>
          <t>Pending Testing</t>
        </is>
      </c>
      <c r="B11" s="182" t="n"/>
      <c r="C11" s="182" t="inlineStr">
        <is>
          <t>High</t>
        </is>
      </c>
      <c r="D11" s="182" t="inlineStr">
        <is>
          <t>Convert Python to use recurrent</t>
        </is>
      </c>
      <c r="E11" s="173" t="n"/>
      <c r="F11" s="175" t="n"/>
      <c r="G11" s="173">
        <f>if(E11="","",E11+F11)</f>
        <v/>
      </c>
      <c r="H11" s="182">
        <f>D11</f>
        <v/>
      </c>
      <c r="I11" s="187">
        <f>int(E11)-int($E$11)</f>
        <v/>
      </c>
      <c r="J11" s="187">
        <f>(int(G11)-int($E$11)-(int(E11)-int($E$11)))</f>
        <v/>
      </c>
      <c r="K11" s="182" t="n"/>
      <c r="L11" s="173" t="n"/>
      <c r="M11" s="182" t="inlineStr">
        <is>
          <t>Ahsan</t>
        </is>
      </c>
      <c r="N11" s="199">
        <f>IF($A11="Completed",1,0)</f>
        <v/>
      </c>
      <c r="O11" s="209">
        <f>IFERROR(__xludf.DUMMYFUNCTION("iferror(SPARKLINE($N11,{""charttype"",""bar"";""max"",1;""min"",0;""color1"",""green""}),"""")"),"")</f>
        <v/>
      </c>
      <c r="P11" s="3" t="n"/>
      <c r="Q11" s="3" t="n"/>
      <c r="R11" s="3" t="n"/>
      <c r="S11" s="3" t="n"/>
      <c r="T11" s="3" t="n"/>
      <c r="U11" s="3" t="n"/>
      <c r="V11" s="3" t="n"/>
      <c r="W11" s="3" t="n"/>
      <c r="X11" s="3" t="n"/>
      <c r="Y11" s="3" t="n"/>
    </row>
    <row r="12">
      <c r="A12" s="182" t="inlineStr">
        <is>
          <t>Pending Testing</t>
        </is>
      </c>
      <c r="B12" s="182" t="n"/>
      <c r="C12" s="182" t="inlineStr">
        <is>
          <t>High</t>
        </is>
      </c>
      <c r="D12" s="182" t="inlineStr">
        <is>
          <t>Convert C to use recurrent</t>
        </is>
      </c>
      <c r="E12" s="173" t="n"/>
      <c r="F12" s="175" t="n"/>
      <c r="G12" s="173">
        <f>if(E12="","",E12+F12)</f>
        <v/>
      </c>
      <c r="H12" s="182">
        <f>D12</f>
        <v/>
      </c>
      <c r="I12" s="187">
        <f>int(E12)-int($E$11)</f>
        <v/>
      </c>
      <c r="J12" s="187">
        <f>(int(G12)-int($E$11)-(int(E12)-int($E$11)))</f>
        <v/>
      </c>
      <c r="K12" s="182" t="n"/>
      <c r="L12" s="173" t="n"/>
      <c r="M12" s="182" t="inlineStr">
        <is>
          <t>Ahsan</t>
        </is>
      </c>
      <c r="N12" s="199">
        <f>IF($A12="Completed",1,0)</f>
        <v/>
      </c>
      <c r="O12" s="209">
        <f>IFERROR(__xludf.DUMMYFUNCTION("iferror(SPARKLINE($N12,{""charttype"",""bar"";""max"",1;""min"",0;""color1"",""green""}),"""")"),"")</f>
        <v/>
      </c>
      <c r="P12" s="3" t="n"/>
      <c r="Q12" s="3" t="n"/>
      <c r="R12" s="3" t="n"/>
      <c r="S12" s="3" t="n"/>
      <c r="T12" s="3" t="n"/>
      <c r="U12" s="3" t="n"/>
      <c r="V12" s="3" t="n"/>
      <c r="W12" s="3" t="n"/>
      <c r="X12" s="3" t="n"/>
      <c r="Y12" s="3" t="n"/>
    </row>
    <row r="13">
      <c r="A13" s="182" t="inlineStr">
        <is>
          <t>Completed</t>
        </is>
      </c>
      <c r="B13" s="182" t="n"/>
      <c r="C13" s="182" t="inlineStr">
        <is>
          <t>High</t>
        </is>
      </c>
      <c r="D13" s="182" t="inlineStr">
        <is>
          <t>Convert RISCV to use recurrent</t>
        </is>
      </c>
      <c r="E13" s="173" t="n"/>
      <c r="F13" s="175" t="n"/>
      <c r="G13" s="173">
        <f>if(E13="","",E13+F13)</f>
        <v/>
      </c>
      <c r="H13" s="182">
        <f>D13</f>
        <v/>
      </c>
      <c r="I13" s="187">
        <f>int(E13)-int($E$11)</f>
        <v/>
      </c>
      <c r="J13" s="187">
        <f>(int(G13)-int($E$11)-(int(E13)-int($E$11)))</f>
        <v/>
      </c>
      <c r="K13" s="182" t="n"/>
      <c r="L13" s="173" t="n"/>
      <c r="M13" s="182" t="inlineStr">
        <is>
          <t>Abdul Rahim</t>
        </is>
      </c>
      <c r="N13" s="199">
        <f>IF($A13="Completed",1,0)</f>
        <v/>
      </c>
      <c r="O13" s="209">
        <f>IFERROR(__xludf.DUMMYFUNCTION("iferror(SPARKLINE($N13,{""charttype"",""bar"";""max"",1;""min"",0;""color1"",""green""}),"""")"),"")</f>
        <v/>
      </c>
      <c r="P13" s="3" t="n"/>
      <c r="Q13" s="3" t="n"/>
      <c r="R13" s="3" t="n"/>
      <c r="S13" s="3" t="n"/>
      <c r="T13" s="3" t="n"/>
      <c r="U13" s="3" t="n"/>
      <c r="V13" s="3" t="n"/>
      <c r="W13" s="3" t="n"/>
      <c r="X13" s="3" t="n"/>
      <c r="Y13" s="3" t="n"/>
    </row>
    <row r="14">
      <c r="A14" s="182" t="inlineStr">
        <is>
          <t>In progress</t>
        </is>
      </c>
      <c r="B14" s="182" t="n"/>
      <c r="C14" s="182" t="inlineStr">
        <is>
          <t>Low</t>
        </is>
      </c>
      <c r="D14" s="182" t="inlineStr">
        <is>
          <t>Remove Emojis in repo</t>
        </is>
      </c>
      <c r="E14" s="173" t="n"/>
      <c r="F14" s="175" t="n"/>
      <c r="G14" s="173">
        <f>if(E14="","",E14+F14)</f>
        <v/>
      </c>
      <c r="H14" s="182">
        <f>D14</f>
        <v/>
      </c>
      <c r="I14" s="187">
        <f>int(E14)-int($E$11)</f>
        <v/>
      </c>
      <c r="J14" s="187">
        <f>(int(G14)-int($E$11)-(int(E14)-int($E$11)))</f>
        <v/>
      </c>
      <c r="K14" s="182" t="n"/>
      <c r="L14" s="173" t="n"/>
      <c r="M14" s="182" t="n"/>
      <c r="N14" s="199">
        <f>IF($A14="Completed",1,0)</f>
        <v/>
      </c>
      <c r="O14" s="209">
        <f>IFERROR(__xludf.DUMMYFUNCTION("iferror(SPARKLINE($N14,{""charttype"",""bar"";""max"",1;""min"",0;""color1"",""green""}),"""")"),"")</f>
        <v/>
      </c>
      <c r="P14" s="3" t="n"/>
      <c r="Q14" s="3" t="n"/>
      <c r="R14" s="3" t="n"/>
      <c r="S14" s="3" t="n"/>
      <c r="T14" s="3" t="n"/>
      <c r="U14" s="3" t="n"/>
      <c r="V14" s="3" t="n"/>
      <c r="W14" s="3" t="n"/>
      <c r="X14" s="3" t="n"/>
      <c r="Y14" s="3" t="n"/>
    </row>
    <row r="15">
      <c r="A15" s="182" t="inlineStr">
        <is>
          <t>In progress</t>
        </is>
      </c>
      <c r="B15" s="182" t="n"/>
      <c r="C15" s="182" t="inlineStr">
        <is>
          <t>Low</t>
        </is>
      </c>
      <c r="D15" s="182" t="inlineStr">
        <is>
          <t>Remove all mention of milestones in codebase</t>
        </is>
      </c>
      <c r="E15" s="173" t="n"/>
      <c r="F15" s="175" t="n"/>
      <c r="G15" s="173">
        <f>if(E15="","",E15+F15)</f>
        <v/>
      </c>
      <c r="H15" s="182">
        <f>D15</f>
        <v/>
      </c>
      <c r="I15" s="187">
        <f>int(E15)-int($E$11)</f>
        <v/>
      </c>
      <c r="J15" s="187">
        <f>(int(G15)-int($E$11)-(int(E15)-int($E$11)))</f>
        <v/>
      </c>
      <c r="K15" s="182" t="n"/>
      <c r="L15" s="173" t="n"/>
      <c r="M15" s="182" t="n"/>
      <c r="N15" s="199">
        <f>IF($A15="Completed",1,0)</f>
        <v/>
      </c>
      <c r="O15" s="209">
        <f>IFERROR(__xludf.DUMMYFUNCTION("iferror(SPARKLINE($N15,{""charttype"",""bar"";""max"",1;""min"",0;""color1"",""green""}),"""")"),"")</f>
        <v/>
      </c>
      <c r="P15" s="3" t="n"/>
      <c r="Q15" s="3" t="n"/>
      <c r="R15" s="3" t="n"/>
      <c r="S15" s="3" t="n"/>
      <c r="T15" s="3" t="n"/>
      <c r="U15" s="3" t="n"/>
      <c r="V15" s="3" t="n"/>
      <c r="W15" s="3" t="n"/>
      <c r="X15" s="3" t="n"/>
      <c r="Y15" s="3" t="n"/>
    </row>
    <row r="16">
      <c r="A16" s="182" t="inlineStr">
        <is>
          <t>Completed</t>
        </is>
      </c>
      <c r="B16" s="182" t="n"/>
      <c r="C16" s="182" t="inlineStr">
        <is>
          <t>Low</t>
        </is>
      </c>
      <c r="D16" s="182" t="inlineStr">
        <is>
          <t>Remove Redundant Linear functions in c implementation</t>
        </is>
      </c>
      <c r="E16" s="173" t="n"/>
      <c r="F16" s="175" t="n"/>
      <c r="G16" s="173">
        <f>if(E16="","",E16+F16)</f>
        <v/>
      </c>
      <c r="H16" s="182">
        <f>D16</f>
        <v/>
      </c>
      <c r="I16" s="187">
        <f>int(E16)-int($E$11)</f>
        <v/>
      </c>
      <c r="J16" s="187">
        <f>(int(G16)-int($E$11)-(int(E16)-int($E$11)))</f>
        <v/>
      </c>
      <c r="K16" s="182" t="n"/>
      <c r="L16" s="173" t="n"/>
      <c r="M16" s="182" t="inlineStr">
        <is>
          <t>Ahsan</t>
        </is>
      </c>
      <c r="N16" s="199">
        <f>IF($A16="Completed",1,0)</f>
        <v/>
      </c>
      <c r="O16" s="209">
        <f>IFERROR(__xludf.DUMMYFUNCTION("iferror(SPARKLINE($N16,{""charttype"",""bar"";""max"",1;""min"",0;""color1"",""green""}),"""")"),"")</f>
        <v/>
      </c>
      <c r="P16" s="3" t="n"/>
      <c r="Q16" s="3" t="n"/>
      <c r="R16" s="3" t="n"/>
      <c r="S16" s="3" t="n"/>
      <c r="T16" s="3" t="n"/>
      <c r="U16" s="3" t="n"/>
      <c r="V16" s="3" t="n"/>
      <c r="W16" s="3" t="n"/>
      <c r="X16" s="3" t="n"/>
      <c r="Y16" s="3" t="n"/>
    </row>
    <row r="17">
      <c r="A17" s="182" t="n"/>
      <c r="B17" s="182" t="n"/>
      <c r="C17" s="182" t="n"/>
      <c r="D17" s="182" t="n"/>
      <c r="E17" s="173" t="n"/>
      <c r="F17" s="175" t="n"/>
      <c r="G17" s="173">
        <f>if(E17="","",E17+F17)</f>
        <v/>
      </c>
      <c r="H17" s="182">
        <f>D17</f>
        <v/>
      </c>
      <c r="I17" s="187">
        <f>int(E17)-int($E$11)</f>
        <v/>
      </c>
      <c r="J17" s="187">
        <f>(int(G17)-int($E$11)-(int(E17)-int($E$11)))</f>
        <v/>
      </c>
      <c r="K17" s="182" t="n"/>
      <c r="L17" s="173" t="n"/>
      <c r="M17" s="182" t="n"/>
      <c r="N17" s="199">
        <f>IF($A17="Completed",1,0)</f>
        <v/>
      </c>
      <c r="O17" s="209">
        <f>IFERROR(__xludf.DUMMYFUNCTION("iferror(SPARKLINE($N17,{""charttype"",""bar"";""max"",1;""min"",0;""color1"",""green""}),"""")"),"")</f>
        <v/>
      </c>
      <c r="P17" s="3" t="n"/>
      <c r="Q17" s="3" t="n"/>
      <c r="R17" s="3" t="n"/>
      <c r="S17" s="3" t="n"/>
      <c r="T17" s="3" t="n"/>
      <c r="U17" s="3" t="n"/>
      <c r="V17" s="3" t="n"/>
      <c r="W17" s="3" t="n"/>
      <c r="X17" s="3" t="n"/>
      <c r="Y17" s="3" t="n"/>
    </row>
    <row r="18">
      <c r="A18" s="148" t="inlineStr">
        <is>
          <t>Stage 2</t>
        </is>
      </c>
      <c r="B18" s="150" t="n"/>
      <c r="C18" s="150" t="n"/>
      <c r="D18" s="150" t="n"/>
      <c r="E18" s="153" t="n"/>
      <c r="F18" s="150" t="n"/>
      <c r="G18" s="153" t="n"/>
      <c r="H18" s="182">
        <f>D18</f>
        <v/>
      </c>
      <c r="I18" s="182" t="n"/>
      <c r="J18" s="182" t="n"/>
      <c r="K18" s="150" t="n"/>
      <c r="L18" s="153" t="n"/>
      <c r="M18" s="150" t="n"/>
      <c r="N18" s="160">
        <f>AVERAGE(N19:N25)</f>
        <v/>
      </c>
      <c r="O18" s="215" t="n"/>
      <c r="P18" s="3" t="n"/>
      <c r="Q18" s="3" t="n"/>
      <c r="R18" s="3" t="n"/>
      <c r="S18" s="3" t="n"/>
      <c r="T18" s="3" t="n"/>
      <c r="U18" s="3" t="n"/>
      <c r="V18" s="3" t="n"/>
      <c r="W18" s="3" t="n"/>
      <c r="X18" s="3" t="n"/>
      <c r="Y18" s="3" t="n"/>
    </row>
    <row r="19">
      <c r="A19" s="182" t="inlineStr">
        <is>
          <t>Not started</t>
        </is>
      </c>
      <c r="B19" s="182" t="n"/>
      <c r="C19" s="182" t="inlineStr">
        <is>
          <t>Medium</t>
        </is>
      </c>
      <c r="D19" s="182" t="inlineStr">
        <is>
          <t>Modular Layers for all implementations</t>
        </is>
      </c>
      <c r="E19" s="173" t="n"/>
      <c r="F19" s="182" t="n"/>
      <c r="G19" s="173">
        <f>if(E19="","",E19+F19)</f>
        <v/>
      </c>
      <c r="H19" s="182">
        <f>D19</f>
        <v/>
      </c>
      <c r="I19" s="187">
        <f>int(E19)-int($E$11)</f>
        <v/>
      </c>
      <c r="J19" s="187">
        <f>(int(G19)-int($E$11)-(int(E19)-int($E$11)))</f>
        <v/>
      </c>
      <c r="K19" s="182" t="n"/>
      <c r="L19" s="173" t="n"/>
      <c r="M19" s="182" t="n"/>
      <c r="N19" s="199">
        <f>IF($A19="Completed",1,0)</f>
        <v/>
      </c>
      <c r="O19" s="209">
        <f>IFERROR(__xludf.DUMMYFUNCTION("iferror(SPARKLINE($N19,{""charttype"",""bar"";""max"",1;""min"",0;""color1"",""green""}),"""")"),"")</f>
        <v/>
      </c>
      <c r="P19" s="3" t="n"/>
      <c r="Q19" s="3" t="n"/>
      <c r="R19" s="3" t="n"/>
      <c r="S19" s="3" t="n"/>
      <c r="T19" s="3" t="n"/>
      <c r="U19" s="3" t="n"/>
      <c r="V19" s="3" t="n"/>
      <c r="W19" s="3" t="n"/>
      <c r="X19" s="3" t="n"/>
      <c r="Y19" s="3" t="n"/>
    </row>
    <row r="20">
      <c r="A20" s="182" t="inlineStr">
        <is>
          <t>In progress</t>
        </is>
      </c>
      <c r="B20" s="182" t="n"/>
      <c r="C20" s="182" t="inlineStr">
        <is>
          <t>High</t>
        </is>
      </c>
      <c r="D20" s="182" t="inlineStr">
        <is>
          <t>In python, train using CNN, transformers, desicision trees and 1-2 more ML algos</t>
        </is>
      </c>
      <c r="E20" s="173" t="n"/>
      <c r="F20" s="182" t="n"/>
      <c r="G20" s="173">
        <f>if(E20="","",E20+F20)</f>
        <v/>
      </c>
      <c r="H20" s="182">
        <f>D20</f>
        <v/>
      </c>
      <c r="I20" s="187">
        <f>int(E20)-int($E$11)</f>
        <v/>
      </c>
      <c r="J20" s="187">
        <f>(int(G20)-int($E$11)-(int(E20)-int($E$11)))</f>
        <v/>
      </c>
      <c r="K20" s="182" t="n"/>
      <c r="L20" s="173" t="n"/>
      <c r="M20" s="182" t="n"/>
      <c r="N20" s="199">
        <f>IF($A20="Completed",1,0)</f>
        <v/>
      </c>
      <c r="O20" s="209">
        <f>IFERROR(__xludf.DUMMYFUNCTION("iferror(SPARKLINE($N20,{""charttype"",""bar"";""max"",1;""min"",0;""color1"",""green""}),"""")"),"")</f>
        <v/>
      </c>
      <c r="P20" s="3" t="n"/>
      <c r="Q20" s="3" t="n"/>
      <c r="R20" s="3" t="n"/>
      <c r="S20" s="3" t="n"/>
      <c r="T20" s="3" t="n"/>
      <c r="U20" s="3" t="n"/>
      <c r="V20" s="3" t="n"/>
      <c r="W20" s="3" t="n"/>
      <c r="X20" s="3" t="n"/>
      <c r="Y20" s="3" t="n"/>
    </row>
    <row r="21">
      <c r="A21" s="182" t="inlineStr">
        <is>
          <t>Not started</t>
        </is>
      </c>
      <c r="B21" s="182" t="n"/>
      <c r="C21" s="182" t="inlineStr">
        <is>
          <t>Medium</t>
        </is>
      </c>
      <c r="D21" s="182" t="inlineStr">
        <is>
          <t>Write C asm</t>
        </is>
      </c>
      <c r="E21" s="173" t="n"/>
      <c r="F21" s="182" t="n"/>
      <c r="G21" s="173">
        <f>if(E21="","",E21+F21)</f>
        <v/>
      </c>
      <c r="H21" s="182">
        <f>D21</f>
        <v/>
      </c>
      <c r="I21" s="187">
        <f>int(E21)-int($E$11)</f>
        <v/>
      </c>
      <c r="J21" s="187">
        <f>(int(G21)-int($E$11)-(int(E21)-int($E$11)))</f>
        <v/>
      </c>
      <c r="K21" s="182" t="n"/>
      <c r="L21" s="173" t="n"/>
      <c r="M21" s="182" t="n"/>
      <c r="N21" s="199">
        <f>IF($A21="Completed",1,0)</f>
        <v/>
      </c>
      <c r="O21" s="209">
        <f>IFERROR(__xludf.DUMMYFUNCTION("iferror(SPARKLINE($N21,{""charttype"",""bar"";""max"",1;""min"",0;""color1"",""green""}),"""")"),"")</f>
        <v/>
      </c>
      <c r="P21" s="3" t="n"/>
      <c r="Q21" s="3" t="n"/>
      <c r="R21" s="3" t="n"/>
      <c r="S21" s="3" t="n"/>
      <c r="T21" s="3" t="n"/>
      <c r="U21" s="3" t="n"/>
      <c r="V21" s="3" t="n"/>
      <c r="W21" s="3" t="n"/>
      <c r="X21" s="3" t="n"/>
      <c r="Y21" s="3" t="n"/>
    </row>
    <row r="22">
      <c r="A22" s="182" t="inlineStr">
        <is>
          <t>Not started</t>
        </is>
      </c>
      <c r="B22" s="182" t="n"/>
      <c r="C22" s="182" t="inlineStr">
        <is>
          <t>Medium</t>
        </is>
      </c>
      <c r="D22" s="182" t="inlineStr">
        <is>
          <t>Replace Veer for spike or mcpat</t>
        </is>
      </c>
      <c r="E22" s="173" t="n"/>
      <c r="F22" s="182" t="n"/>
      <c r="G22" s="173">
        <f>if(E22="","",E22+F22)</f>
        <v/>
      </c>
      <c r="H22" s="182">
        <f>D22</f>
        <v/>
      </c>
      <c r="I22" s="187">
        <f>int(E22)-int($E$11)</f>
        <v/>
      </c>
      <c r="J22" s="187">
        <f>(int(G22)-int($E$11)-(int(E22)-int($E$11)))</f>
        <v/>
      </c>
      <c r="K22" s="182" t="n"/>
      <c r="L22" s="173" t="n"/>
      <c r="M22" s="182" t="n"/>
      <c r="N22" s="199">
        <f>IF($A22="Completed",1,0)</f>
        <v/>
      </c>
      <c r="O22" s="209">
        <f>IFERROR(__xludf.DUMMYFUNCTION("iferror(SPARKLINE($N22,{""charttype"",""bar"";""max"",1;""min"",0;""color1"",""green""}),"""")"),"")</f>
        <v/>
      </c>
      <c r="P22" s="3" t="n"/>
      <c r="Q22" s="3" t="n"/>
      <c r="R22" s="3" t="n"/>
      <c r="S22" s="3" t="n"/>
      <c r="T22" s="3" t="n"/>
      <c r="U22" s="3" t="n"/>
      <c r="V22" s="3" t="n"/>
      <c r="W22" s="3" t="n"/>
      <c r="X22" s="3" t="n"/>
      <c r="Y22" s="3" t="n"/>
    </row>
    <row r="23">
      <c r="A23" s="182" t="n"/>
      <c r="B23" s="182" t="n"/>
      <c r="C23" s="182" t="n"/>
      <c r="D23" s="182" t="n"/>
      <c r="E23" s="173" t="n"/>
      <c r="F23" s="182" t="n"/>
      <c r="G23" s="173">
        <f>if(E23="","",E23+F23)</f>
        <v/>
      </c>
      <c r="H23" s="182">
        <f>D23</f>
        <v/>
      </c>
      <c r="I23" s="187">
        <f>int(E23)-int($E$11)</f>
        <v/>
      </c>
      <c r="J23" s="187">
        <f>(int(G23)-int($E$11)-(int(E23)-int($E$11)))</f>
        <v/>
      </c>
      <c r="K23" s="182" t="n"/>
      <c r="L23" s="173" t="n"/>
      <c r="M23" s="182" t="n"/>
      <c r="N23" s="199">
        <f>IF($A23="Completed",1,0)</f>
        <v/>
      </c>
      <c r="O23" s="209">
        <f>IFERROR(__xludf.DUMMYFUNCTION("iferror(SPARKLINE($N23,{""charttype"",""bar"";""max"",1;""min"",0;""color1"",""green""}),"""")"),"")</f>
        <v/>
      </c>
      <c r="P23" s="3" t="n"/>
      <c r="Q23" s="3" t="n"/>
      <c r="R23" s="3" t="n"/>
      <c r="S23" s="3" t="n"/>
      <c r="T23" s="3" t="n"/>
      <c r="U23" s="3" t="n"/>
      <c r="V23" s="3" t="n"/>
      <c r="W23" s="3" t="n"/>
      <c r="X23" s="3" t="n"/>
      <c r="Y23" s="3" t="n"/>
    </row>
    <row r="24">
      <c r="A24" s="182" t="n"/>
      <c r="B24" s="182" t="n"/>
      <c r="C24" s="182" t="n"/>
      <c r="D24" s="182" t="n"/>
      <c r="E24" s="173" t="n"/>
      <c r="F24" s="182" t="n"/>
      <c r="G24" s="173">
        <f>if(E24="","",E24+F24)</f>
        <v/>
      </c>
      <c r="H24" s="182">
        <f>D24</f>
        <v/>
      </c>
      <c r="I24" s="187">
        <f>int(E24)-int($E$11)</f>
        <v/>
      </c>
      <c r="J24" s="187">
        <f>(int(G24)-int($E$11)-(int(E24)-int($E$11)))</f>
        <v/>
      </c>
      <c r="K24" s="182" t="n"/>
      <c r="L24" s="173" t="n"/>
      <c r="M24" s="182" t="n"/>
      <c r="N24" s="199">
        <f>IF($A24="Completed",1,0)</f>
        <v/>
      </c>
      <c r="O24" s="209">
        <f>IFERROR(__xludf.DUMMYFUNCTION("iferror(SPARKLINE($N24,{""charttype"",""bar"";""max"",1;""min"",0;""color1"",""green""}),"""")"),"")</f>
        <v/>
      </c>
      <c r="P24" s="3" t="n"/>
      <c r="Q24" s="3" t="n"/>
      <c r="R24" s="3" t="n"/>
      <c r="S24" s="3" t="n"/>
      <c r="T24" s="3" t="n"/>
      <c r="U24" s="3" t="n"/>
      <c r="V24" s="3" t="n"/>
      <c r="W24" s="3" t="n"/>
      <c r="X24" s="3" t="n"/>
      <c r="Y24" s="3" t="n"/>
    </row>
    <row r="25">
      <c r="A25" s="182" t="n"/>
      <c r="B25" s="182" t="n"/>
      <c r="C25" s="182" t="n"/>
      <c r="D25" s="182" t="n"/>
      <c r="E25" s="173" t="n"/>
      <c r="F25" s="182" t="n"/>
      <c r="G25" s="173">
        <f>if(E25="","",E25+F25)</f>
        <v/>
      </c>
      <c r="H25" s="182">
        <f>D25</f>
        <v/>
      </c>
      <c r="I25" s="187">
        <f>int(E25)-int($E$11)</f>
        <v/>
      </c>
      <c r="J25" s="187">
        <f>(int(G25)-int($E$11)-(int(E25)-int($E$11)))</f>
        <v/>
      </c>
      <c r="K25" s="182" t="n"/>
      <c r="L25" s="173" t="n"/>
      <c r="M25" s="182" t="n"/>
      <c r="N25" s="199">
        <f>IF($A25="Completed",1,0)</f>
        <v/>
      </c>
      <c r="O25" s="209">
        <f>IFERROR(__xludf.DUMMYFUNCTION("iferror(SPARKLINE($N25,{""charttype"",""bar"";""max"",1;""min"",0;""color1"",""green""}),"""")"),"")</f>
        <v/>
      </c>
      <c r="P25" s="3" t="n"/>
      <c r="Q25" s="3" t="n"/>
      <c r="R25" s="3" t="n"/>
      <c r="S25" s="3" t="n"/>
      <c r="T25" s="3" t="n"/>
      <c r="U25" s="3" t="n"/>
      <c r="V25" s="3" t="n"/>
      <c r="W25" s="3" t="n"/>
      <c r="X25" s="3" t="n"/>
      <c r="Y25" s="3" t="n"/>
    </row>
    <row r="26">
      <c r="A26" s="148" t="inlineStr">
        <is>
          <t>Stage 3</t>
        </is>
      </c>
      <c r="B26" s="150" t="n"/>
      <c r="C26" s="150" t="n"/>
      <c r="D26" s="150" t="n"/>
      <c r="E26" s="153" t="n"/>
      <c r="F26" s="150" t="n"/>
      <c r="G26" s="153" t="n"/>
      <c r="H26" s="182">
        <f>D26</f>
        <v/>
      </c>
      <c r="I26" s="182" t="n"/>
      <c r="J26" s="182" t="n"/>
      <c r="K26" s="150" t="n"/>
      <c r="L26" s="153" t="n"/>
      <c r="M26" s="150" t="n"/>
      <c r="N26" s="160">
        <f>AVERAGE(N27:N33)</f>
        <v/>
      </c>
      <c r="O26" s="215" t="n"/>
      <c r="P26" s="3" t="n"/>
      <c r="Q26" s="3" t="n"/>
      <c r="R26" s="3" t="n"/>
      <c r="S26" s="3" t="n"/>
      <c r="T26" s="3" t="n"/>
      <c r="U26" s="3" t="n"/>
      <c r="V26" s="3" t="n"/>
      <c r="W26" s="3" t="n"/>
      <c r="X26" s="3" t="n"/>
      <c r="Y26" s="3" t="n"/>
    </row>
    <row r="27">
      <c r="A27" s="182" t="inlineStr">
        <is>
          <t>Not started</t>
        </is>
      </c>
      <c r="B27" s="182" t="n"/>
      <c r="C27" s="182" t="inlineStr">
        <is>
          <t>Medium</t>
        </is>
      </c>
      <c r="D27" s="182" t="inlineStr">
        <is>
          <t>HTML/CSS/JS Web interface</t>
        </is>
      </c>
      <c r="E27" s="173" t="n"/>
      <c r="F27" s="182" t="n"/>
      <c r="G27" s="173">
        <f>if(E27="","",E27+F27)</f>
        <v/>
      </c>
      <c r="H27" s="182">
        <f>D27</f>
        <v/>
      </c>
      <c r="I27" s="187">
        <f>int(E27)-int($E$11)</f>
        <v/>
      </c>
      <c r="J27" s="187">
        <f>(int(G27)-int($E$11)-(int(E27)-int($E$11)))</f>
        <v/>
      </c>
      <c r="K27" s="182" t="n"/>
      <c r="L27" s="173" t="n"/>
      <c r="M27" s="182" t="n"/>
      <c r="N27" s="199">
        <f>IF($A27="Completed",1,0)</f>
        <v/>
      </c>
      <c r="O27" s="209">
        <f>IFERROR(__xludf.DUMMYFUNCTION("iferror(SPARKLINE($N27,{""charttype"",""bar"";""max"",1;""min"",0;""color1"",""green""}),"""")"),"")</f>
        <v/>
      </c>
      <c r="P27" s="3" t="n"/>
      <c r="Q27" s="3" t="n"/>
      <c r="R27" s="3" t="n"/>
      <c r="S27" s="3" t="n"/>
      <c r="T27" s="3" t="n"/>
      <c r="U27" s="3" t="n"/>
      <c r="V27" s="3" t="n"/>
      <c r="W27" s="3" t="n"/>
      <c r="X27" s="3" t="n"/>
      <c r="Y27" s="3" t="n"/>
    </row>
    <row r="28">
      <c r="A28" s="182" t="inlineStr">
        <is>
          <t>Not started</t>
        </is>
      </c>
      <c r="B28" s="182" t="n"/>
      <c r="C28" s="182" t="inlineStr">
        <is>
          <t>Low</t>
        </is>
      </c>
      <c r="D28" s="182" t="inlineStr">
        <is>
          <t>Custom file extension for model weights</t>
        </is>
      </c>
      <c r="E28" s="173" t="n"/>
      <c r="F28" s="182" t="n"/>
      <c r="G28" s="173">
        <f>if(E28="","",E28+F28)</f>
        <v/>
      </c>
      <c r="H28" s="182">
        <f>D28</f>
        <v/>
      </c>
      <c r="I28" s="187">
        <f>int(E28)-int($E$11)</f>
        <v/>
      </c>
      <c r="J28" s="187">
        <f>(int(G28)-int($E$11)-(int(E28)-int($E$11)))</f>
        <v/>
      </c>
      <c r="K28" s="182" t="n"/>
      <c r="L28" s="173" t="n"/>
      <c r="M28" s="182" t="n"/>
      <c r="N28" s="199">
        <f>IF($A28="Completed",1,0)</f>
        <v/>
      </c>
      <c r="O28" s="209">
        <f>IFERROR(__xludf.DUMMYFUNCTION("iferror(SPARKLINE($N28,{""charttype"",""bar"";""max"",1;""min"",0;""color1"",""green""}),"""")"),"")</f>
        <v/>
      </c>
      <c r="P28" s="3" t="n"/>
      <c r="Q28" s="3" t="n"/>
      <c r="R28" s="3" t="n"/>
      <c r="S28" s="3" t="n"/>
      <c r="T28" s="3" t="n"/>
      <c r="U28" s="3" t="n"/>
      <c r="V28" s="3" t="n"/>
      <c r="W28" s="3" t="n"/>
      <c r="X28" s="3" t="n"/>
      <c r="Y28" s="3" t="n"/>
    </row>
    <row r="29">
      <c r="A29" s="182" t="inlineStr">
        <is>
          <t>In progress</t>
        </is>
      </c>
      <c r="B29" s="182" t="n"/>
      <c r="C29" s="182" t="inlineStr">
        <is>
          <t>High</t>
        </is>
      </c>
      <c r="D29" s="182" t="inlineStr">
        <is>
          <t>train till model accuracy ~85%</t>
        </is>
      </c>
      <c r="E29" s="173" t="n"/>
      <c r="F29" s="182" t="n"/>
      <c r="G29" s="173">
        <f>if(E29="","",E29+F29)</f>
        <v/>
      </c>
      <c r="H29" s="182">
        <f>D29</f>
        <v/>
      </c>
      <c r="I29" s="187">
        <f>int(E29)-int($E$11)</f>
        <v/>
      </c>
      <c r="J29" s="187">
        <f>(int(G29)-int($E$11)-(int(E29)-int($E$11)))</f>
        <v/>
      </c>
      <c r="K29" s="182" t="n"/>
      <c r="L29" s="173" t="n"/>
      <c r="M29" s="182" t="n"/>
      <c r="N29" s="199">
        <f>IF($A29="Completed",1,0)</f>
        <v/>
      </c>
      <c r="O29" s="209">
        <f>IFERROR(__xludf.DUMMYFUNCTION("iferror(SPARKLINE($N29,{""charttype"",""bar"";""max"",1;""min"",0;""color1"",""green""}),"""")"),"")</f>
        <v/>
      </c>
      <c r="P29" s="3" t="n"/>
      <c r="Q29" s="3" t="n"/>
      <c r="R29" s="3" t="n"/>
      <c r="S29" s="3" t="n"/>
      <c r="T29" s="3" t="n"/>
      <c r="U29" s="3" t="n"/>
      <c r="V29" s="3" t="n"/>
      <c r="W29" s="3" t="n"/>
      <c r="X29" s="3" t="n"/>
      <c r="Y29" s="3" t="n"/>
    </row>
    <row r="30">
      <c r="A30" s="182" t="inlineStr">
        <is>
          <t>Not started</t>
        </is>
      </c>
      <c r="B30" s="182" t="n"/>
      <c r="C30" s="182" t="inlineStr">
        <is>
          <t>High</t>
        </is>
      </c>
      <c r="D30" s="182" t="inlineStr">
        <is>
          <t>Optimize RISCV implementation</t>
        </is>
      </c>
      <c r="E30" s="173" t="n"/>
      <c r="F30" s="182" t="n"/>
      <c r="G30" s="173">
        <f>if(E30="","",E30+F30)</f>
        <v/>
      </c>
      <c r="H30" s="182">
        <f>D30</f>
        <v/>
      </c>
      <c r="I30" s="187">
        <f>int(E30)-int($E$11)</f>
        <v/>
      </c>
      <c r="J30" s="187">
        <f>(int(G30)-int($E$11)-(int(E30)-int($E$11)))</f>
        <v/>
      </c>
      <c r="K30" s="182" t="n"/>
      <c r="L30" s="173" t="n"/>
      <c r="M30" s="182" t="n"/>
      <c r="N30" s="199">
        <f>IF($A30="Completed",1,0)</f>
        <v/>
      </c>
      <c r="O30" s="209">
        <f>IFERROR(__xludf.DUMMYFUNCTION("iferror(SPARKLINE($N30,{""charttype"",""bar"";""max"",1;""min"",0;""color1"",""green""}),"""")"),"")</f>
        <v/>
      </c>
      <c r="P30" s="3" t="n"/>
      <c r="Q30" s="3" t="n"/>
      <c r="R30" s="3" t="n"/>
      <c r="S30" s="3" t="n"/>
      <c r="T30" s="3" t="n"/>
      <c r="U30" s="3" t="n"/>
      <c r="V30" s="3" t="n"/>
      <c r="W30" s="3" t="n"/>
      <c r="X30" s="3" t="n"/>
      <c r="Y30" s="3" t="n"/>
    </row>
    <row r="31">
      <c r="A31" s="182" t="n"/>
      <c r="B31" s="182" t="n"/>
      <c r="C31" s="182" t="n"/>
      <c r="D31" s="182" t="n"/>
      <c r="E31" s="173" t="n"/>
      <c r="F31" s="182" t="n"/>
      <c r="G31" s="173">
        <f>if(E31="","",E31+F31)</f>
        <v/>
      </c>
      <c r="H31" s="182">
        <f>D31</f>
        <v/>
      </c>
      <c r="I31" s="187">
        <f>int(E31)-int($E$11)</f>
        <v/>
      </c>
      <c r="J31" s="187">
        <f>(int(G31)-int($E$11)-(int(E31)-int($E$11)))</f>
        <v/>
      </c>
      <c r="K31" s="182" t="n"/>
      <c r="L31" s="173" t="n"/>
      <c r="M31" s="182" t="n"/>
      <c r="N31" s="199">
        <f>IF($A31="Completed",1,0)</f>
        <v/>
      </c>
      <c r="O31" s="209">
        <f>IFERROR(__xludf.DUMMYFUNCTION("iferror(SPARKLINE($N31,{""charttype"",""bar"";""max"",1;""min"",0;""color1"",""green""}),"""")"),"")</f>
        <v/>
      </c>
      <c r="P31" s="3" t="n"/>
      <c r="Q31" s="3" t="n"/>
      <c r="R31" s="3" t="n"/>
      <c r="S31" s="3" t="n"/>
      <c r="T31" s="3" t="n"/>
      <c r="U31" s="3" t="n"/>
      <c r="V31" s="3" t="n"/>
      <c r="W31" s="3" t="n"/>
      <c r="X31" s="3" t="n"/>
      <c r="Y31" s="3" t="n"/>
    </row>
    <row r="32">
      <c r="A32" s="182" t="n"/>
      <c r="B32" s="182" t="n"/>
      <c r="C32" s="182" t="n"/>
      <c r="D32" s="182" t="n"/>
      <c r="E32" s="173" t="n"/>
      <c r="F32" s="182" t="n"/>
      <c r="G32" s="173">
        <f>if(E32="","",E32+F32)</f>
        <v/>
      </c>
      <c r="H32" s="182">
        <f>D32</f>
        <v/>
      </c>
      <c r="I32" s="187">
        <f>int(E32)-int($E$11)</f>
        <v/>
      </c>
      <c r="J32" s="187">
        <f>(int(G32)-int($E$11)-(int(E32)-int($E$11)))</f>
        <v/>
      </c>
      <c r="K32" s="182" t="n"/>
      <c r="L32" s="173" t="n"/>
      <c r="M32" s="182" t="n"/>
      <c r="N32" s="199">
        <f>IF($A32="Completed",1,0)</f>
        <v/>
      </c>
      <c r="O32" s="209">
        <f>IFERROR(__xludf.DUMMYFUNCTION("iferror(SPARKLINE($N32,{""charttype"",""bar"";""max"",1;""min"",0;""color1"",""green""}),"""")"),"")</f>
        <v/>
      </c>
      <c r="P32" s="3" t="n"/>
      <c r="Q32" s="3" t="n"/>
      <c r="R32" s="3" t="n"/>
      <c r="S32" s="3" t="n"/>
      <c r="T32" s="3" t="n"/>
      <c r="U32" s="3" t="n"/>
      <c r="V32" s="3" t="n"/>
      <c r="W32" s="3" t="n"/>
      <c r="X32" s="3" t="n"/>
      <c r="Y32" s="3" t="n"/>
    </row>
    <row r="33">
      <c r="A33" s="182" t="n"/>
      <c r="B33" s="182" t="n"/>
      <c r="C33" s="182" t="n"/>
      <c r="D33" s="182" t="n"/>
      <c r="E33" s="173" t="n"/>
      <c r="F33" s="182" t="n"/>
      <c r="G33" s="173">
        <f>if(E33="","",E33+F33)</f>
        <v/>
      </c>
      <c r="H33" s="182">
        <f>D33</f>
        <v/>
      </c>
      <c r="I33" s="187">
        <f>int(E33)-int($E$11)</f>
        <v/>
      </c>
      <c r="J33" s="187">
        <f>(int(G33)-int($E$11)-(int(E33)-int($E$11)))</f>
        <v/>
      </c>
      <c r="K33" s="182" t="n"/>
      <c r="L33" s="173" t="n"/>
      <c r="M33" s="182" t="n"/>
      <c r="N33" s="199">
        <f>IF($A33="Completed",1,0)</f>
        <v/>
      </c>
      <c r="O33" s="209">
        <f>IFERROR(__xludf.DUMMYFUNCTION("iferror(SPARKLINE($N33,{""charttype"",""bar"";""max"",1;""min"",0;""color1"",""green""}),"""")"),"")</f>
        <v/>
      </c>
      <c r="P33" s="3" t="n"/>
      <c r="Q33" s="3" t="n"/>
      <c r="R33" s="3" t="n"/>
      <c r="S33" s="3" t="n"/>
      <c r="T33" s="3" t="n"/>
      <c r="U33" s="3" t="n"/>
      <c r="V33" s="3" t="n"/>
      <c r="W33" s="3" t="n"/>
      <c r="X33" s="3" t="n"/>
      <c r="Y33" s="3" t="n"/>
    </row>
    <row r="34">
      <c r="A34" s="222" t="inlineStr">
        <is>
          <t>Stage 4</t>
        </is>
      </c>
      <c r="B34" s="223" t="n"/>
      <c r="C34" s="223" t="n"/>
      <c r="D34" s="223" t="n"/>
      <c r="E34" s="224" t="n"/>
      <c r="F34" s="223" t="n"/>
      <c r="G34" s="224" t="n"/>
      <c r="H34" s="182">
        <f>D34</f>
        <v/>
      </c>
      <c r="I34" s="182" t="n"/>
      <c r="J34" s="182" t="n"/>
      <c r="K34" s="223" t="n"/>
      <c r="L34" s="224" t="n"/>
      <c r="M34" s="223" t="n"/>
      <c r="N34" s="225">
        <f>AVERAGE(N35:N41)</f>
        <v/>
      </c>
      <c r="O34" s="226" t="n"/>
      <c r="P34" s="3" t="n"/>
      <c r="Q34" s="3" t="n"/>
      <c r="R34" s="3" t="n"/>
      <c r="S34" s="3" t="n"/>
      <c r="T34" s="3" t="n"/>
      <c r="U34" s="3" t="n"/>
      <c r="V34" s="3" t="n"/>
      <c r="W34" s="3" t="n"/>
      <c r="X34" s="3" t="n"/>
      <c r="Y34" s="3" t="n"/>
    </row>
    <row r="35">
      <c r="A35" s="182" t="n"/>
      <c r="B35" s="182" t="n"/>
      <c r="C35" s="182" t="n"/>
      <c r="D35" s="182" t="n"/>
      <c r="E35" s="173" t="n"/>
      <c r="F35" s="182" t="n"/>
      <c r="G35" s="173">
        <f>if(E35="","",E35+F35)</f>
        <v/>
      </c>
      <c r="H35" s="182">
        <f>D35</f>
        <v/>
      </c>
      <c r="I35" s="187">
        <f>int(E35)-int($E$11)</f>
        <v/>
      </c>
      <c r="J35" s="187">
        <f>(int(G35)-int($E$11)-(int(E35)-int($E$11)))</f>
        <v/>
      </c>
      <c r="K35" s="182" t="n"/>
      <c r="L35" s="173" t="n"/>
      <c r="M35" s="182" t="n"/>
      <c r="N35" s="199">
        <f>IF($A35="Completed",1,0)</f>
        <v/>
      </c>
      <c r="O35" s="209">
        <f>IFERROR(__xludf.DUMMYFUNCTION("iferror(SPARKLINE($N35,{""charttype"",""bar"";""max"",1;""min"",0;""color1"",""green""}),"""")"),"")</f>
        <v/>
      </c>
      <c r="P35" s="3" t="n"/>
      <c r="Q35" s="3" t="n"/>
      <c r="R35" s="3" t="n"/>
      <c r="S35" s="3" t="n"/>
      <c r="T35" s="3" t="n"/>
      <c r="U35" s="3" t="n"/>
      <c r="V35" s="3" t="n"/>
      <c r="W35" s="3" t="n"/>
      <c r="X35" s="3" t="n"/>
      <c r="Y35" s="3" t="n"/>
    </row>
    <row r="36">
      <c r="A36" s="182" t="n"/>
      <c r="B36" s="182" t="n"/>
      <c r="C36" s="182" t="n"/>
      <c r="D36" s="182" t="n"/>
      <c r="E36" s="173" t="n"/>
      <c r="F36" s="182" t="n"/>
      <c r="G36" s="173">
        <f>if(E36="","",E36+F36)</f>
        <v/>
      </c>
      <c r="H36" s="182">
        <f>D36</f>
        <v/>
      </c>
      <c r="I36" s="187">
        <f>int(E36)-int($E$11)</f>
        <v/>
      </c>
      <c r="J36" s="187">
        <f>(int(G36)-int($E$11)-(int(E36)-int($E$11)))</f>
        <v/>
      </c>
      <c r="K36" s="182" t="n"/>
      <c r="L36" s="173" t="n"/>
      <c r="M36" s="182" t="n"/>
      <c r="N36" s="199">
        <f>IF($A36="Completed",1,0)</f>
        <v/>
      </c>
      <c r="O36" s="209">
        <f>IFERROR(__xludf.DUMMYFUNCTION("iferror(SPARKLINE($N36,{""charttype"",""bar"";""max"",1;""min"",0;""color1"",""green""}),"""")"),"")</f>
        <v/>
      </c>
      <c r="P36" s="3" t="n"/>
      <c r="Q36" s="3" t="n"/>
      <c r="R36" s="3" t="n"/>
      <c r="S36" s="3" t="n"/>
      <c r="T36" s="3" t="n"/>
      <c r="U36" s="3" t="n"/>
      <c r="V36" s="3" t="n"/>
      <c r="W36" s="3" t="n"/>
      <c r="X36" s="3" t="n"/>
      <c r="Y36" s="3" t="n"/>
    </row>
    <row r="37">
      <c r="A37" s="182" t="n"/>
      <c r="B37" s="182" t="n"/>
      <c r="C37" s="182" t="n"/>
      <c r="D37" s="182" t="n"/>
      <c r="E37" s="173" t="n"/>
      <c r="F37" s="182" t="n"/>
      <c r="G37" s="173">
        <f>if(E37="","",E37+F37)</f>
        <v/>
      </c>
      <c r="H37" s="182">
        <f>D37</f>
        <v/>
      </c>
      <c r="I37" s="187">
        <f>int(E37)-int($E$11)</f>
        <v/>
      </c>
      <c r="J37" s="187">
        <f>(int(G37)-int($E$11)-(int(E37)-int($E$11)))</f>
        <v/>
      </c>
      <c r="K37" s="182" t="n"/>
      <c r="L37" s="173" t="n"/>
      <c r="M37" s="182" t="n"/>
      <c r="N37" s="199">
        <f>IF($A37="Completed",1,0)</f>
        <v/>
      </c>
      <c r="O37" s="209">
        <f>IFERROR(__xludf.DUMMYFUNCTION("iferror(SPARKLINE($N37,{""charttype"",""bar"";""max"",1;""min"",0;""color1"",""green""}),"""")"),"")</f>
        <v/>
      </c>
      <c r="P37" s="3" t="n"/>
      <c r="Q37" s="3" t="n"/>
      <c r="R37" s="3" t="n"/>
      <c r="S37" s="3" t="n"/>
      <c r="T37" s="3" t="n"/>
      <c r="U37" s="3" t="n"/>
      <c r="V37" s="3" t="n"/>
      <c r="W37" s="3" t="n"/>
      <c r="X37" s="3" t="n"/>
      <c r="Y37" s="3" t="n"/>
    </row>
    <row r="38">
      <c r="A38" s="182" t="n"/>
      <c r="B38" s="182" t="n"/>
      <c r="C38" s="182" t="n"/>
      <c r="D38" s="182" t="n"/>
      <c r="E38" s="173" t="n"/>
      <c r="F38" s="182" t="n"/>
      <c r="G38" s="173">
        <f>if(E38="","",E38+F38)</f>
        <v/>
      </c>
      <c r="H38" s="182">
        <f>D38</f>
        <v/>
      </c>
      <c r="I38" s="187">
        <f>int(E38)-int($E$11)</f>
        <v/>
      </c>
      <c r="J38" s="187">
        <f>(int(G38)-int($E$11)-(int(E38)-int($E$11)))</f>
        <v/>
      </c>
      <c r="K38" s="182" t="n"/>
      <c r="L38" s="173" t="n"/>
      <c r="M38" s="182" t="n"/>
      <c r="N38" s="199">
        <f>IF($A38="Completed",1,0)</f>
        <v/>
      </c>
      <c r="O38" s="209">
        <f>IFERROR(__xludf.DUMMYFUNCTION("iferror(SPARKLINE($N38,{""charttype"",""bar"";""max"",1;""min"",0;""color1"",""green""}),"""")"),"")</f>
        <v/>
      </c>
      <c r="P38" s="3" t="n"/>
      <c r="Q38" s="3" t="n"/>
      <c r="R38" s="3" t="n"/>
      <c r="S38" s="3" t="n"/>
      <c r="T38" s="3" t="n"/>
      <c r="U38" s="3" t="n"/>
      <c r="V38" s="3" t="n"/>
      <c r="W38" s="3" t="n"/>
      <c r="X38" s="3" t="n"/>
      <c r="Y38" s="3" t="n"/>
    </row>
    <row r="39">
      <c r="A39" s="182" t="n"/>
      <c r="B39" s="182" t="n"/>
      <c r="C39" s="182" t="n"/>
      <c r="D39" s="182" t="n"/>
      <c r="E39" s="173" t="n"/>
      <c r="F39" s="182" t="n"/>
      <c r="G39" s="173">
        <f>if(E39="","",E39+F39)</f>
        <v/>
      </c>
      <c r="H39" s="182">
        <f>D39</f>
        <v/>
      </c>
      <c r="I39" s="187">
        <f>int(E39)-int($E$11)</f>
        <v/>
      </c>
      <c r="J39" s="187">
        <f>(int(G39)-int($E$11)-(int(E39)-int($E$11)))</f>
        <v/>
      </c>
      <c r="K39" s="182" t="n"/>
      <c r="L39" s="173" t="n"/>
      <c r="M39" s="182" t="n"/>
      <c r="N39" s="199">
        <f>IF($A39="Completed",1,0)</f>
        <v/>
      </c>
      <c r="O39" s="209">
        <f>IFERROR(__xludf.DUMMYFUNCTION("iferror(SPARKLINE($N39,{""charttype"",""bar"";""max"",1;""min"",0;""color1"",""green""}),"""")"),"")</f>
        <v/>
      </c>
      <c r="P39" s="3" t="n"/>
      <c r="Q39" s="3" t="n"/>
      <c r="R39" s="3" t="n"/>
      <c r="S39" s="3" t="n"/>
      <c r="T39" s="3" t="n"/>
      <c r="U39" s="3" t="n"/>
      <c r="V39" s="3" t="n"/>
      <c r="W39" s="3" t="n"/>
      <c r="X39" s="3" t="n"/>
      <c r="Y39" s="3" t="n"/>
    </row>
    <row r="40">
      <c r="A40" s="182" t="n"/>
      <c r="B40" s="182" t="n"/>
      <c r="C40" s="182" t="n"/>
      <c r="D40" s="182" t="n"/>
      <c r="E40" s="173" t="n"/>
      <c r="F40" s="182" t="n"/>
      <c r="G40" s="173">
        <f>if(E40="","",E40+F40)</f>
        <v/>
      </c>
      <c r="H40" s="182">
        <f>D40</f>
        <v/>
      </c>
      <c r="I40" s="187">
        <f>int(E40)-int($E$11)</f>
        <v/>
      </c>
      <c r="J40" s="187">
        <f>(int(G40)-int($E$11)-(int(E40)-int($E$11)))</f>
        <v/>
      </c>
      <c r="K40" s="182" t="n"/>
      <c r="L40" s="173" t="n"/>
      <c r="M40" s="182" t="n"/>
      <c r="N40" s="199">
        <f>IF($A40="Completed",1,0)</f>
        <v/>
      </c>
      <c r="O40" s="209">
        <f>IFERROR(__xludf.DUMMYFUNCTION("iferror(SPARKLINE($N40,{""charttype"",""bar"";""max"",1;""min"",0;""color1"",""green""}),"""")"),"")</f>
        <v/>
      </c>
      <c r="P40" s="3" t="n"/>
      <c r="Q40" s="3" t="n"/>
      <c r="R40" s="3" t="n"/>
      <c r="S40" s="3" t="n"/>
      <c r="T40" s="3" t="n"/>
      <c r="U40" s="3" t="n"/>
      <c r="V40" s="3" t="n"/>
      <c r="W40" s="3" t="n"/>
      <c r="X40" s="3" t="n"/>
      <c r="Y40" s="3" t="n"/>
    </row>
    <row r="41">
      <c r="A41" s="182" t="n"/>
      <c r="B41" s="182" t="n"/>
      <c r="C41" s="182" t="n"/>
      <c r="D41" s="182" t="n"/>
      <c r="E41" s="173" t="n"/>
      <c r="F41" s="182" t="n"/>
      <c r="G41" s="173">
        <f>if(E41="","",E41+F41)</f>
        <v/>
      </c>
      <c r="H41" s="182">
        <f>D41</f>
        <v/>
      </c>
      <c r="I41" s="187">
        <f>int(E41)-int($E$11)</f>
        <v/>
      </c>
      <c r="J41" s="187">
        <f>(int(G41)-int($E$11)-(int(E41)-int($E$11)))</f>
        <v/>
      </c>
      <c r="K41" s="182" t="n"/>
      <c r="L41" s="173" t="n"/>
      <c r="M41" s="182" t="n"/>
      <c r="N41" s="199">
        <f>IF($A41="Completed",1,0)</f>
        <v/>
      </c>
      <c r="O41" s="209">
        <f>IFERROR(__xludf.DUMMYFUNCTION("iferror(SPARKLINE($N41,{""charttype"",""bar"";""max"",1;""min"",0;""color1"",""green""}),"""")"),"")</f>
        <v/>
      </c>
      <c r="P41" s="3" t="n"/>
      <c r="Q41" s="3" t="n"/>
      <c r="R41" s="3" t="n"/>
      <c r="S41" s="3" t="n"/>
      <c r="T41" s="3" t="n"/>
      <c r="U41" s="3" t="n"/>
      <c r="V41" s="3" t="n"/>
      <c r="W41" s="3" t="n"/>
      <c r="X41" s="3" t="n"/>
      <c r="Y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row>
  </sheetData>
  <mergeCells count="11">
    <mergeCell ref="A5:D5"/>
    <mergeCell ref="A6:D6"/>
    <mergeCell ref="C2:D3"/>
    <mergeCell ref="E5:G5"/>
    <mergeCell ref="L5:N5"/>
    <mergeCell ref="A2:A3"/>
    <mergeCell ref="A8:O8"/>
    <mergeCell ref="B9:C9"/>
    <mergeCell ref="E2:O3"/>
    <mergeCell ref="L6:N6"/>
    <mergeCell ref="E6:G6"/>
  </mergeCells>
  <dataValidations count="3">
    <dataValidation sqref="K11:K17 K19:K25 K27:K33 K35:K41" showDropDown="0" showInputMessage="0" showErrorMessage="0" allowBlank="1" type="list">
      <formula1>Sheet!$C$2:$C$4</formula1>
    </dataValidation>
    <dataValidation sqref="A11:A17 A19:A25 A27:A33 A35:A41" showDropDown="0" showInputMessage="0" showErrorMessage="0" allowBlank="1" type="list">
      <formula1>Sheet!$A:$A</formula1>
    </dataValidation>
    <dataValidation sqref="C11:C17 C19:C25 C27:C33 C35:C41" showDropDown="0" showInputMessage="0" showErrorMessage="0" allowBlank="1" type="list">
      <formula1>Sheet!$B$2:$B$4</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M64"/>
  <sheetViews>
    <sheetView workbookViewId="0">
      <selection activeCell="A1" sqref="A1"/>
    </sheetView>
  </sheetViews>
  <sheetFormatPr baseColWidth="8" defaultColWidth="12.63" defaultRowHeight="15.75" customHeight="1"/>
  <cols>
    <col width="14.5" customWidth="1" style="227" min="3" max="3"/>
    <col width="20" customWidth="1" style="227" min="6" max="7"/>
    <col width="82.25" customWidth="1" style="227" min="8" max="8"/>
    <col width="12.75" customWidth="1" style="227" min="10" max="10"/>
  </cols>
  <sheetData>
    <row r="1">
      <c r="B1" s="51" t="inlineStr">
        <is>
          <t>Numer of Loops per Layer</t>
        </is>
      </c>
    </row>
    <row r="2">
      <c r="B2" s="52" t="inlineStr">
        <is>
          <t>Vector (RISCV)</t>
        </is>
      </c>
      <c r="C2" s="52" t="inlineStr">
        <is>
          <t>Scalar (RISCV)</t>
        </is>
      </c>
      <c r="D2" s="52" t="inlineStr">
        <is>
          <t>O2</t>
        </is>
      </c>
      <c r="E2" s="52" t="inlineStr">
        <is>
          <t>O3</t>
        </is>
      </c>
      <c r="F2" s="52" t="inlineStr">
        <is>
          <t>RAW</t>
        </is>
      </c>
      <c r="G2" s="52" t="inlineStr">
        <is>
          <t>Bottle Neck Loop</t>
        </is>
      </c>
      <c r="H2" s="52" t="inlineStr">
        <is>
          <t>Comments</t>
        </is>
      </c>
    </row>
    <row r="3">
      <c r="A3" s="52" t="inlineStr">
        <is>
          <t>hilbert</t>
        </is>
      </c>
      <c r="B3" s="55" t="n">
        <v>8192</v>
      </c>
      <c r="C3" s="55" t="n">
        <v>8192</v>
      </c>
      <c r="D3" s="55" t="n">
        <v>4096</v>
      </c>
      <c r="E3" s="55" t="n">
        <v>4096</v>
      </c>
      <c r="F3" s="55" t="n">
        <v>8192</v>
      </c>
      <c r="H3" s="6" t="inlineStr">
        <is>
          <t>The takeaways for your writeup:</t>
        </is>
      </c>
    </row>
    <row r="4">
      <c r="A4" s="52" t="inlineStr">
        <is>
          <t>input_proj</t>
        </is>
      </c>
      <c r="B4" s="55" t="n">
        <v>528384</v>
      </c>
      <c r="C4" s="55" t="n">
        <v>528384</v>
      </c>
      <c r="D4" s="55" t="n">
        <v>266240</v>
      </c>
      <c r="E4" s="55" t="n">
        <v>266240</v>
      </c>
      <c r="F4" s="55" t="n">
        <v>528384</v>
      </c>
      <c r="H4" s="6" t="inlineStr">
        <is>
          <t>-O0 back-edges = the loop-iteration counts already on the sheet (every loop present, one branch per iteration). So the sheet's "Loops" column is the −O0 back-edge count.</t>
        </is>
      </c>
      <c r="K4" s="58" t="n"/>
    </row>
    <row r="5">
      <c r="A5" s="52" t="inlineStr">
        <is>
          <t>s4_1</t>
        </is>
      </c>
      <c r="B5" s="59" t="n">
        <v>76153024</v>
      </c>
      <c r="C5" s="61" t="n">
        <v>545916992</v>
      </c>
      <c r="D5" s="61" t="n">
        <v>8652864</v>
      </c>
      <c r="E5" s="61" t="n">
        <v>8652864</v>
      </c>
      <c r="F5" s="61" t="n">
        <v>8652864</v>
      </c>
      <c r="H5" s="6" t="inlineStr">
        <is>
          <t>O2/O3 barely differ (&lt;0.03% overall) — the compiler only unrolls the tiny constant-bound loops (C=1, K=4), which zeroes out the small layers' back-edges (hilbert 8,192→4,096, softmax 11→0). The dominant s4d is untouched because a 32-iteration inner loop and a 4,096-iteration timestep loop are too big for GCC to fully unroll, and it doesn't SIMD them.</t>
        </is>
      </c>
      <c r="K5" s="58" t="n"/>
    </row>
    <row r="6">
      <c r="A6" s="52" t="inlineStr">
        <is>
          <t>gelu_1</t>
        </is>
      </c>
      <c r="B6" s="59" t="n">
        <v>32768</v>
      </c>
      <c r="C6" s="61" t="n">
        <v>262144</v>
      </c>
      <c r="D6" s="61" t="n">
        <v>262144</v>
      </c>
      <c r="E6" s="61" t="n">
        <v>262144</v>
      </c>
      <c r="F6" s="61" t="n">
        <v>262144</v>
      </c>
      <c r="H6" s="6" t="inlineStr">
        <is>
          <t>This is the honest headline: on the compiled C, "loops executed at once" essentially never happens — that's the entire justification for hand-writing the vectorized asm, where the Vector column really does fold 8–32 iterations into one.</t>
        </is>
      </c>
      <c r="K6" s="66" t="n"/>
    </row>
    <row r="7">
      <c r="A7" s="52" t="inlineStr">
        <is>
          <t>s4_2</t>
        </is>
      </c>
      <c r="B7" s="59" t="n">
        <v>76153024</v>
      </c>
      <c r="C7" s="61" t="n">
        <v>545916992</v>
      </c>
      <c r="D7" s="61" t="n">
        <v>8652864</v>
      </c>
      <c r="E7" s="61" t="n">
        <v>8652864</v>
      </c>
      <c r="F7" s="61" t="n">
        <v>8652864</v>
      </c>
      <c r="K7" s="58" t="n"/>
    </row>
    <row r="8">
      <c r="A8" s="52" t="inlineStr">
        <is>
          <t>gelu_2</t>
        </is>
      </c>
      <c r="B8" s="59" t="n">
        <v>32768</v>
      </c>
      <c r="C8" s="61" t="n">
        <v>262144</v>
      </c>
      <c r="D8" s="61" t="n">
        <v>262144</v>
      </c>
      <c r="E8" s="61" t="n">
        <v>262144</v>
      </c>
      <c r="F8" s="61" t="n">
        <v>262144</v>
      </c>
      <c r="H8" s="6" t="inlineStr">
        <is>
          <t>Confidence: the s4d/gelu/ttls rows are solid (kept loops, no vectorization — directly implied by the 0 vector-instruction counts). The small-loop unrolling (hilbert/input_proj/softmax) reflects GCC's documented full-unroll of tiny constant-trip loops; if you want those exact to the branch, I can set up a QEMU branch-counting measurement to confirm. Want me to add these two columns (−O0 and O2/O3 back-edges) into the workbook next to the Loops table?</t>
        </is>
      </c>
      <c r="J8" s="51" t="n"/>
      <c r="K8" s="68" t="n"/>
      <c r="L8" s="68" t="n"/>
    </row>
    <row r="9">
      <c r="A9" s="52" t="inlineStr">
        <is>
          <t>ttls</t>
        </is>
      </c>
      <c r="B9" s="70" t="n">
        <v>64</v>
      </c>
      <c r="C9" s="70" t="n">
        <v>64</v>
      </c>
      <c r="D9" s="70" t="n">
        <v>64</v>
      </c>
      <c r="E9" s="70" t="n">
        <v>64</v>
      </c>
      <c r="F9" s="70" t="n">
        <v>64</v>
      </c>
      <c r="K9" s="58" t="n"/>
      <c r="L9" s="58" t="n"/>
    </row>
    <row r="10">
      <c r="A10" s="52" t="inlineStr">
        <is>
          <t>output_proj</t>
        </is>
      </c>
      <c r="B10" s="71" t="n">
        <v>37</v>
      </c>
      <c r="C10" s="72" t="n">
        <v>260</v>
      </c>
      <c r="D10" s="72" t="n">
        <v>256</v>
      </c>
      <c r="E10" s="72" t="n">
        <v>256</v>
      </c>
      <c r="F10" s="72" t="n">
        <v>261</v>
      </c>
      <c r="K10" s="58" t="n"/>
      <c r="L10" s="58" t="n"/>
    </row>
    <row r="11">
      <c r="A11" s="52" t="inlineStr">
        <is>
          <t>softmax</t>
        </is>
      </c>
      <c r="B11" s="70" t="n">
        <v>11</v>
      </c>
      <c r="C11" s="70" t="n">
        <v>11</v>
      </c>
      <c r="D11" s="70" t="n">
        <v>0</v>
      </c>
      <c r="E11" s="70" t="n">
        <v>0</v>
      </c>
      <c r="F11" s="70" t="n">
        <v>11</v>
      </c>
      <c r="K11" s="58" t="n"/>
      <c r="L11" s="58" t="n"/>
    </row>
    <row r="12">
      <c r="K12" s="58" t="n"/>
      <c r="L12" s="58" t="n"/>
    </row>
    <row r="13">
      <c r="K13" s="58" t="n"/>
      <c r="L13" s="58" t="n"/>
    </row>
    <row r="14">
      <c r="K14" s="58" t="n"/>
      <c r="L14" s="58" t="n"/>
    </row>
    <row r="15">
      <c r="B15" s="51" t="inlineStr">
        <is>
          <t>Total Instructions Executed per Layer</t>
        </is>
      </c>
      <c r="K15" s="66" t="n"/>
      <c r="L15" s="66" t="n"/>
    </row>
    <row r="16">
      <c r="B16" s="52" t="inlineStr">
        <is>
          <t>Vector (RISCV)</t>
        </is>
      </c>
      <c r="C16" s="52" t="inlineStr">
        <is>
          <t>Scalar (RISCV)</t>
        </is>
      </c>
      <c r="D16" s="52" t="inlineStr">
        <is>
          <t>O2</t>
        </is>
      </c>
      <c r="E16" s="52" t="inlineStr">
        <is>
          <t>O3</t>
        </is>
      </c>
      <c r="F16" s="52" t="inlineStr">
        <is>
          <t>RAW</t>
        </is>
      </c>
      <c r="G16" s="52" t="n"/>
      <c r="K16" s="66" t="n"/>
      <c r="L16" s="66" t="n"/>
    </row>
    <row r="17">
      <c r="A17" s="52" t="inlineStr">
        <is>
          <t>hilbert</t>
        </is>
      </c>
      <c r="B17" s="78" t="n">
        <v>339402</v>
      </c>
      <c r="C17" s="80" t="n">
        <v>28672</v>
      </c>
      <c r="D17" s="81" t="n">
        <v>120724</v>
      </c>
      <c r="E17" s="83" t="n">
        <v>141668</v>
      </c>
      <c r="F17" s="61" t="n">
        <v>432746</v>
      </c>
      <c r="G17" s="112" t="n"/>
      <c r="H17" s="6" t="inlineStr">
        <is>
          <t>s4_1 ≠ s4_2 (e.g. O2: 42.06B vs 47.95B) — the old Taylor math is data-dependent, so the two layers legitimately differ.</t>
        </is>
      </c>
      <c r="K17" s="66" t="n"/>
      <c r="L17" s="66" t="n"/>
    </row>
    <row r="18">
      <c r="A18" s="52" t="inlineStr">
        <is>
          <t>input_proj</t>
        </is>
      </c>
      <c r="B18" s="87" t="n">
        <v>54965015</v>
      </c>
      <c r="C18" s="87" t="n">
        <v>3407872</v>
      </c>
      <c r="D18" s="87" t="n">
        <v>6505562</v>
      </c>
      <c r="E18" s="87" t="n">
        <v>30800838</v>
      </c>
      <c r="F18" s="88" t="n">
        <v>14754078</v>
      </c>
      <c r="G18" s="112" t="n"/>
    </row>
    <row r="19">
      <c r="A19" s="52" t="inlineStr">
        <is>
          <t>s4_1</t>
        </is>
      </c>
      <c r="B19" s="89" t="n">
        <v>2650028993</v>
      </c>
      <c r="C19" s="90" t="n">
        <v>13198421142</v>
      </c>
      <c r="D19" s="91" t="n">
        <v>42061966867</v>
      </c>
      <c r="E19" s="92" t="n">
        <v>45472953582</v>
      </c>
      <c r="F19" s="61" t="n">
        <v>66770310325</v>
      </c>
      <c r="G19" s="112" t="n"/>
    </row>
    <row r="20">
      <c r="A20" s="52" t="inlineStr">
        <is>
          <t>gelu_1</t>
        </is>
      </c>
      <c r="B20" s="87" t="n">
        <v>89010730</v>
      </c>
      <c r="C20" s="87" t="n">
        <v>490509312</v>
      </c>
      <c r="D20" s="87" t="n">
        <v>642047067</v>
      </c>
      <c r="E20" s="87" t="n">
        <v>664647146</v>
      </c>
      <c r="F20" s="95" t="n">
        <v>637146360</v>
      </c>
      <c r="G20" s="112" t="n"/>
      <c r="H20" s="6" t="inlineStr">
        <is>
          <t>O2 &lt; O3 &lt; Raw for the total (O3 is slower than O2 here — aggressive O3 unrolling inflates count). Baseline total: Raw 138.6B, O2 91.2B, O3 95.7B.</t>
        </is>
      </c>
    </row>
    <row r="21">
      <c r="A21" s="52" t="inlineStr">
        <is>
          <t>s4_2</t>
        </is>
      </c>
      <c r="B21" s="96" t="n">
        <v>3101110213</v>
      </c>
      <c r="C21" s="90" t="n">
        <v>13198421142</v>
      </c>
      <c r="D21" s="98" t="n">
        <v>47954627903</v>
      </c>
      <c r="E21" s="99" t="n">
        <v>49121165271</v>
      </c>
      <c r="F21" s="61" t="n">
        <v>70335055031</v>
      </c>
      <c r="G21" s="112" t="n"/>
      <c r="K21" s="68" t="n"/>
      <c r="L21" s="68" t="n"/>
    </row>
    <row r="22">
      <c r="A22" s="52" t="inlineStr">
        <is>
          <t>gelu_2</t>
        </is>
      </c>
      <c r="B22" s="87" t="n">
        <v>100157280</v>
      </c>
      <c r="C22" s="87" t="n">
        <v>490509312</v>
      </c>
      <c r="D22" s="87" t="n">
        <v>549664650</v>
      </c>
      <c r="E22" s="87" t="n">
        <v>446741108</v>
      </c>
      <c r="F22" s="61" t="n">
        <v>819816270</v>
      </c>
      <c r="G22" s="112" t="n"/>
      <c r="K22" s="66" t="n"/>
      <c r="L22" s="66" t="n"/>
    </row>
    <row r="23">
      <c r="A23" s="52" t="inlineStr">
        <is>
          <t>ttls</t>
        </is>
      </c>
      <c r="B23" s="102" t="n">
        <v>101482</v>
      </c>
      <c r="C23" s="59" t="n">
        <v>1280</v>
      </c>
      <c r="D23" s="103" t="n">
        <v>116978</v>
      </c>
      <c r="E23" s="106" t="n">
        <v>107174</v>
      </c>
      <c r="F23" s="61" t="n">
        <v>515336</v>
      </c>
      <c r="G23" s="112" t="n"/>
      <c r="K23" s="66" t="n"/>
      <c r="L23" s="66" t="n"/>
    </row>
    <row r="24">
      <c r="A24" s="52" t="inlineStr">
        <is>
          <t>output_proj</t>
        </is>
      </c>
      <c r="B24" s="108" t="n">
        <v>318296</v>
      </c>
      <c r="C24" s="61" t="n">
        <v>819200</v>
      </c>
      <c r="D24" s="110" t="n">
        <v>222156</v>
      </c>
      <c r="E24" s="59" t="n">
        <v>162702</v>
      </c>
      <c r="F24" s="111" t="n">
        <v>578720</v>
      </c>
      <c r="G24" s="112" t="n"/>
      <c r="K24" s="66" t="n"/>
      <c r="L24" s="66" t="n"/>
    </row>
    <row r="25">
      <c r="A25" s="52" t="inlineStr">
        <is>
          <t>softmax</t>
        </is>
      </c>
      <c r="B25" s="113" t="n">
        <v>236602</v>
      </c>
      <c r="C25" s="59" t="n">
        <v>6953</v>
      </c>
      <c r="D25" s="115" t="n">
        <v>238524</v>
      </c>
      <c r="E25" s="117" t="n">
        <v>414356</v>
      </c>
      <c r="F25" s="61" t="n">
        <v>789260</v>
      </c>
      <c r="G25" s="112" t="n"/>
      <c r="I25" s="68" t="n"/>
      <c r="J25" s="51" t="n"/>
      <c r="K25" s="68" t="n"/>
      <c r="L25" s="68" t="n"/>
      <c r="M25" s="68" t="n"/>
    </row>
    <row r="26">
      <c r="B26" s="51" t="n"/>
      <c r="C26" s="51" t="n"/>
      <c r="D26" s="51" t="n"/>
      <c r="E26" s="51" t="n"/>
      <c r="K26" s="58" t="n"/>
      <c r="L26" s="58" t="n"/>
      <c r="M26" s="58" t="n"/>
    </row>
    <row r="27">
      <c r="B27" s="51" t="n"/>
      <c r="C27" s="51" t="n"/>
      <c r="D27" s="51" t="n"/>
      <c r="E27" s="51" t="n"/>
      <c r="K27" s="58" t="n"/>
      <c r="L27" s="58" t="n"/>
      <c r="M27" s="58" t="n"/>
    </row>
    <row r="28">
      <c r="B28" s="51" t="inlineStr">
        <is>
          <t>Total Instructions per Layer</t>
        </is>
      </c>
      <c r="I28" s="51" t="n"/>
      <c r="J28" s="68" t="n"/>
      <c r="K28" s="58" t="n"/>
      <c r="L28" s="58" t="n"/>
      <c r="M28" s="58" t="n"/>
    </row>
    <row r="29">
      <c r="B29" s="52" t="inlineStr">
        <is>
          <t>Vector (RISCV)</t>
        </is>
      </c>
      <c r="C29" s="52" t="inlineStr">
        <is>
          <t>Scalar (RISCV)</t>
        </is>
      </c>
      <c r="D29" s="52" t="inlineStr">
        <is>
          <t>O2</t>
        </is>
      </c>
      <c r="E29" s="52" t="inlineStr">
        <is>
          <t>O3</t>
        </is>
      </c>
      <c r="F29" s="52" t="inlineStr">
        <is>
          <t>RAW</t>
        </is>
      </c>
      <c r="H29" s="93" t="inlineStr">
        <is>
          <t>Static (Vector/Scalar) from .s source. O2/O3 static pending (needs old convolution C build).</t>
        </is>
      </c>
      <c r="J29" s="66" t="n"/>
      <c r="K29" s="58" t="n"/>
      <c r="L29" s="58" t="n"/>
      <c r="M29" s="58" t="n"/>
    </row>
    <row r="30">
      <c r="A30" s="52" t="inlineStr">
        <is>
          <t>hilbert</t>
        </is>
      </c>
      <c r="B30" s="126" t="n">
        <v>28</v>
      </c>
      <c r="C30" s="126" t="n">
        <v>28</v>
      </c>
      <c r="D30" s="71" t="n">
        <v>19</v>
      </c>
      <c r="E30" s="129" t="n">
        <v>21</v>
      </c>
      <c r="F30" s="72" t="n">
        <v>72</v>
      </c>
      <c r="J30" s="66" t="n"/>
      <c r="K30" s="58" t="n"/>
      <c r="L30" s="58" t="n"/>
      <c r="M30" s="58" t="n"/>
    </row>
    <row r="31">
      <c r="A31" s="52" t="inlineStr">
        <is>
          <t>input_proj</t>
        </is>
      </c>
      <c r="B31" s="131" t="n">
        <v>66</v>
      </c>
      <c r="C31" s="133" t="n">
        <v>58</v>
      </c>
      <c r="D31" s="135" t="n">
        <v>113</v>
      </c>
      <c r="E31" s="72" t="n">
        <v>310</v>
      </c>
      <c r="F31" s="137" t="n">
        <v>228</v>
      </c>
      <c r="J31" s="66" t="n"/>
      <c r="K31" s="58" t="n"/>
      <c r="L31" s="58" t="n"/>
      <c r="M31" s="58" t="n"/>
    </row>
    <row r="32">
      <c r="A32" s="52" t="inlineStr">
        <is>
          <t>s4_1</t>
        </is>
      </c>
      <c r="B32" s="132" t="n">
        <v>370</v>
      </c>
      <c r="C32" s="140" t="n">
        <v>253</v>
      </c>
      <c r="D32" s="71" t="n">
        <v>205</v>
      </c>
      <c r="E32" s="71" t="n">
        <v>205</v>
      </c>
      <c r="F32" s="72" t="n">
        <v>408</v>
      </c>
      <c r="J32" s="66" t="n"/>
      <c r="K32" s="58" t="n"/>
      <c r="L32" s="58" t="n"/>
      <c r="M32" s="58" t="n"/>
    </row>
    <row r="33">
      <c r="A33" s="52" t="inlineStr">
        <is>
          <t>gelu_1</t>
        </is>
      </c>
      <c r="B33" s="142" t="n">
        <v>93</v>
      </c>
      <c r="C33" s="146" t="n">
        <v>76</v>
      </c>
      <c r="D33" s="71" t="n">
        <v>43</v>
      </c>
      <c r="E33" s="71" t="n">
        <v>43</v>
      </c>
      <c r="F33" s="147" t="n">
        <v>84</v>
      </c>
      <c r="J33" s="66" t="n"/>
      <c r="K33" s="58" t="n"/>
      <c r="L33" s="58" t="n"/>
      <c r="M33" s="58" t="n"/>
    </row>
    <row r="34">
      <c r="A34" s="52" t="inlineStr">
        <is>
          <t>s4_2</t>
        </is>
      </c>
      <c r="B34" s="132" t="n">
        <v>370</v>
      </c>
      <c r="C34" s="140" t="n">
        <v>253</v>
      </c>
      <c r="D34" s="71" t="n">
        <v>205</v>
      </c>
      <c r="E34" s="71" t="n">
        <v>205</v>
      </c>
      <c r="F34" s="72" t="n">
        <v>408</v>
      </c>
      <c r="J34" s="66" t="n"/>
      <c r="K34" s="58" t="n"/>
      <c r="L34" s="58" t="n"/>
      <c r="M34" s="58" t="n"/>
    </row>
    <row r="35">
      <c r="A35" s="52" t="inlineStr">
        <is>
          <t>gelu_2</t>
        </is>
      </c>
      <c r="B35" s="142" t="n">
        <v>93</v>
      </c>
      <c r="C35" s="146" t="n">
        <v>76</v>
      </c>
      <c r="D35" s="71" t="n">
        <v>43</v>
      </c>
      <c r="E35" s="71" t="n">
        <v>43</v>
      </c>
      <c r="F35" s="147" t="n">
        <v>84</v>
      </c>
      <c r="J35" s="66" t="n"/>
    </row>
    <row r="36">
      <c r="A36" s="52" t="inlineStr">
        <is>
          <t>ttls</t>
        </is>
      </c>
      <c r="B36" s="129" t="n">
        <v>14</v>
      </c>
      <c r="C36" s="129" t="n">
        <v>14</v>
      </c>
      <c r="D36" s="71" t="n">
        <v>11</v>
      </c>
      <c r="E36" s="72" t="n">
        <v>90</v>
      </c>
      <c r="F36" s="154" t="n">
        <v>33</v>
      </c>
      <c r="J36" s="66" t="n"/>
    </row>
    <row r="37">
      <c r="A37" s="52" t="inlineStr">
        <is>
          <t>output_proj</t>
        </is>
      </c>
      <c r="B37" s="155" t="n">
        <v>66</v>
      </c>
      <c r="C37" s="71" t="n">
        <v>58</v>
      </c>
      <c r="D37" s="135" t="n">
        <v>113</v>
      </c>
      <c r="E37" s="72" t="n">
        <v>310</v>
      </c>
      <c r="F37" s="137" t="n">
        <v>228</v>
      </c>
      <c r="J37" s="66" t="n"/>
    </row>
    <row r="38">
      <c r="A38" s="52" t="inlineStr">
        <is>
          <t>softmax</t>
        </is>
      </c>
      <c r="B38" s="71" t="n">
        <v>51</v>
      </c>
      <c r="C38" s="71" t="n">
        <v>51</v>
      </c>
      <c r="D38" s="158" t="n">
        <v>63</v>
      </c>
      <c r="E38" s="158" t="n">
        <v>63</v>
      </c>
      <c r="F38" s="72" t="n">
        <v>93</v>
      </c>
    </row>
    <row r="39">
      <c r="B39" s="51" t="n"/>
      <c r="C39" s="51" t="n"/>
      <c r="D39" s="51" t="n"/>
      <c r="E39" s="51" t="n"/>
    </row>
    <row r="40">
      <c r="B40" s="51" t="n"/>
      <c r="C40" s="51" t="n"/>
      <c r="D40" s="51" t="n"/>
      <c r="E40" s="51" t="n"/>
    </row>
    <row r="41">
      <c r="B41" s="51" t="inlineStr">
        <is>
          <t>Total Vector Instructions per Layer</t>
        </is>
      </c>
    </row>
    <row r="42">
      <c r="B42" s="52" t="inlineStr">
        <is>
          <t>Vector (RISCV)</t>
        </is>
      </c>
      <c r="C42" s="52" t="inlineStr">
        <is>
          <t>Scalar (RISCV)</t>
        </is>
      </c>
      <c r="D42" s="52" t="inlineStr">
        <is>
          <t>O2</t>
        </is>
      </c>
      <c r="E42" s="52" t="inlineStr">
        <is>
          <t>O3</t>
        </is>
      </c>
      <c r="F42" s="52" t="inlineStr">
        <is>
          <t>RAW</t>
        </is>
      </c>
    </row>
    <row r="43">
      <c r="A43" s="52" t="inlineStr">
        <is>
          <t>hilbert</t>
        </is>
      </c>
      <c r="B43" s="132" t="n">
        <v>0</v>
      </c>
      <c r="C43" s="132" t="n">
        <v>0</v>
      </c>
      <c r="D43" s="132" t="n">
        <v>0</v>
      </c>
      <c r="E43" s="132" t="n">
        <v>0</v>
      </c>
      <c r="F43" s="70" t="n">
        <v>0</v>
      </c>
    </row>
    <row r="44">
      <c r="A44" s="52" t="inlineStr">
        <is>
          <t>input_proj</t>
        </is>
      </c>
      <c r="B44" s="164" t="n">
        <v>7</v>
      </c>
      <c r="C44" s="132" t="n">
        <v>0</v>
      </c>
      <c r="D44" s="166" t="n">
        <v>9</v>
      </c>
      <c r="E44" s="166" t="n">
        <v>9</v>
      </c>
      <c r="F44" s="72" t="n">
        <v>0</v>
      </c>
    </row>
    <row r="45">
      <c r="A45" s="52" t="inlineStr">
        <is>
          <t>s4_1</t>
        </is>
      </c>
      <c r="B45" s="126" t="n">
        <v>123</v>
      </c>
      <c r="C45" s="132" t="n">
        <v>0</v>
      </c>
      <c r="D45" s="132" t="n">
        <v>0</v>
      </c>
      <c r="E45" s="132" t="n">
        <v>0</v>
      </c>
      <c r="F45" s="72" t="n">
        <v>0</v>
      </c>
    </row>
    <row r="46">
      <c r="A46" s="52" t="inlineStr">
        <is>
          <t>gelu_1</t>
        </is>
      </c>
      <c r="B46" s="167" t="n">
        <v>47</v>
      </c>
      <c r="C46" s="168" t="n">
        <v>38</v>
      </c>
      <c r="D46" s="132" t="n">
        <v>0</v>
      </c>
      <c r="E46" s="132" t="n">
        <v>0</v>
      </c>
      <c r="F46" s="72" t="n">
        <v>0</v>
      </c>
    </row>
    <row r="47">
      <c r="A47" s="52" t="inlineStr">
        <is>
          <t>s4_2</t>
        </is>
      </c>
      <c r="B47" s="126" t="n">
        <v>123</v>
      </c>
      <c r="C47" s="132" t="n">
        <v>0</v>
      </c>
      <c r="D47" s="132" t="n">
        <v>0</v>
      </c>
      <c r="E47" s="132" t="n">
        <v>0</v>
      </c>
      <c r="F47" s="72" t="n">
        <v>0</v>
      </c>
    </row>
    <row r="48">
      <c r="A48" s="52" t="inlineStr">
        <is>
          <t>gelu_2</t>
        </is>
      </c>
      <c r="B48" s="167" t="n">
        <v>47</v>
      </c>
      <c r="C48" s="168" t="n">
        <v>38</v>
      </c>
      <c r="D48" s="132" t="n">
        <v>0</v>
      </c>
      <c r="E48" s="132" t="n">
        <v>0</v>
      </c>
      <c r="F48" s="72" t="n">
        <v>0</v>
      </c>
    </row>
    <row r="49">
      <c r="A49" s="52" t="inlineStr">
        <is>
          <t>ttls</t>
        </is>
      </c>
      <c r="B49" s="72" t="n">
        <v>0</v>
      </c>
      <c r="C49" s="72" t="n">
        <v>0</v>
      </c>
      <c r="D49" s="72" t="n">
        <v>0</v>
      </c>
      <c r="E49" s="71" t="n">
        <v>33</v>
      </c>
      <c r="F49" s="72" t="n">
        <v>0</v>
      </c>
    </row>
    <row r="50">
      <c r="A50" s="52" t="inlineStr">
        <is>
          <t>output_proj</t>
        </is>
      </c>
      <c r="B50" s="171" t="n">
        <v>7</v>
      </c>
      <c r="C50" s="72" t="n">
        <v>0</v>
      </c>
      <c r="D50" s="71" t="n">
        <v>9</v>
      </c>
      <c r="E50" s="71" t="n">
        <v>9</v>
      </c>
      <c r="F50" s="72" t="n">
        <v>0</v>
      </c>
    </row>
    <row r="51">
      <c r="A51" s="52" t="inlineStr">
        <is>
          <t>softmax</t>
        </is>
      </c>
      <c r="B51" s="72" t="n">
        <v>0</v>
      </c>
      <c r="C51" s="72" t="n">
        <v>0</v>
      </c>
      <c r="D51" s="71" t="n">
        <v>6</v>
      </c>
      <c r="E51" s="71" t="n">
        <v>6</v>
      </c>
      <c r="F51" s="72" t="n">
        <v>0</v>
      </c>
    </row>
    <row r="54">
      <c r="B54" s="177" t="inlineStr">
        <is>
          <t>Percentage of Vector Instructions</t>
        </is>
      </c>
    </row>
    <row r="55">
      <c r="B55" s="52" t="inlineStr">
        <is>
          <t>Vector (RISCV)</t>
        </is>
      </c>
      <c r="C55" s="52" t="inlineStr">
        <is>
          <t>Scalar (RISCV)</t>
        </is>
      </c>
      <c r="D55" s="52" t="inlineStr">
        <is>
          <t>O2</t>
        </is>
      </c>
      <c r="E55" s="52" t="inlineStr">
        <is>
          <t>O3</t>
        </is>
      </c>
      <c r="F55" s="52" t="inlineStr">
        <is>
          <t>RAW</t>
        </is>
      </c>
    </row>
    <row r="56">
      <c r="A56" s="52" t="inlineStr">
        <is>
          <t>hilbert</t>
        </is>
      </c>
      <c r="B56" s="179" t="n">
        <v>0</v>
      </c>
      <c r="C56" s="179" t="n">
        <v>0</v>
      </c>
      <c r="D56" s="179" t="n">
        <v>0</v>
      </c>
      <c r="E56" s="179" t="n">
        <v>0</v>
      </c>
      <c r="F56" s="180" t="n">
        <v>0</v>
      </c>
    </row>
    <row r="57">
      <c r="A57" s="52" t="inlineStr">
        <is>
          <t>input_proj</t>
        </is>
      </c>
      <c r="B57" s="181" t="n">
        <v>0.106</v>
      </c>
      <c r="C57" s="179" t="n">
        <v>0</v>
      </c>
      <c r="D57" s="183" t="n">
        <v>0.08</v>
      </c>
      <c r="E57" s="184" t="n">
        <v>0.029</v>
      </c>
      <c r="F57" s="185" t="n">
        <v>0</v>
      </c>
    </row>
    <row r="58">
      <c r="A58" s="52" t="inlineStr">
        <is>
          <t>s4_1</t>
        </is>
      </c>
      <c r="B58" s="186" t="n">
        <v>0.332</v>
      </c>
      <c r="C58" s="179" t="n">
        <v>0</v>
      </c>
      <c r="D58" s="179" t="n">
        <v>0</v>
      </c>
      <c r="E58" s="179" t="n">
        <v>0</v>
      </c>
      <c r="F58" s="185" t="n">
        <v>0</v>
      </c>
    </row>
    <row r="59">
      <c r="A59" s="52" t="inlineStr">
        <is>
          <t>gelu_1</t>
        </is>
      </c>
      <c r="B59" s="188" t="n">
        <v>0.505</v>
      </c>
      <c r="C59" s="189" t="n">
        <v>0.5</v>
      </c>
      <c r="D59" s="179" t="n">
        <v>0</v>
      </c>
      <c r="E59" s="179" t="n">
        <v>0</v>
      </c>
      <c r="F59" s="185" t="n">
        <v>0</v>
      </c>
    </row>
    <row r="60">
      <c r="A60" s="52" t="inlineStr">
        <is>
          <t>s4_2</t>
        </is>
      </c>
      <c r="B60" s="186" t="n">
        <v>0.332</v>
      </c>
      <c r="C60" s="179" t="n">
        <v>0</v>
      </c>
      <c r="D60" s="179" t="n">
        <v>0</v>
      </c>
      <c r="E60" s="179" t="n">
        <v>0</v>
      </c>
      <c r="F60" s="185" t="n">
        <v>0</v>
      </c>
    </row>
    <row r="61">
      <c r="A61" s="52" t="inlineStr">
        <is>
          <t>gelu_2</t>
        </is>
      </c>
      <c r="B61" s="188" t="n">
        <v>0.505</v>
      </c>
      <c r="C61" s="189" t="n">
        <v>0.5</v>
      </c>
      <c r="D61" s="179" t="n">
        <v>0</v>
      </c>
      <c r="E61" s="179" t="n">
        <v>0</v>
      </c>
      <c r="F61" s="185" t="n">
        <v>0</v>
      </c>
    </row>
    <row r="62">
      <c r="A62" s="52" t="inlineStr">
        <is>
          <t>ttls</t>
        </is>
      </c>
      <c r="B62" s="191" t="n">
        <v>0</v>
      </c>
      <c r="C62" s="185" t="n">
        <v>0</v>
      </c>
      <c r="D62" s="191" t="n">
        <v>0</v>
      </c>
      <c r="E62" s="193" t="n">
        <v>0.367</v>
      </c>
      <c r="F62" s="185" t="n">
        <v>0</v>
      </c>
    </row>
    <row r="63">
      <c r="A63" s="52" t="inlineStr">
        <is>
          <t>output_proj</t>
        </is>
      </c>
      <c r="B63" s="196" t="n">
        <v>0.106</v>
      </c>
      <c r="C63" s="185" t="n">
        <v>0</v>
      </c>
      <c r="D63" s="197" t="n">
        <v>0.08</v>
      </c>
      <c r="E63" s="198" t="n">
        <v>0.029</v>
      </c>
      <c r="F63" s="185" t="n">
        <v>0</v>
      </c>
    </row>
    <row r="64">
      <c r="A64" s="52" t="inlineStr">
        <is>
          <t>softmax</t>
        </is>
      </c>
      <c r="B64" s="185" t="n">
        <v>0</v>
      </c>
      <c r="C64" s="185" t="n">
        <v>0</v>
      </c>
      <c r="D64" s="196" t="n">
        <v>0.095</v>
      </c>
      <c r="E64" s="196" t="n">
        <v>0.095</v>
      </c>
      <c r="F64" s="185" t="n">
        <v>0</v>
      </c>
    </row>
  </sheetData>
  <mergeCells count="5">
    <mergeCell ref="B41:E41"/>
    <mergeCell ref="B1:G1"/>
    <mergeCell ref="B54:E54"/>
    <mergeCell ref="B15:E15"/>
    <mergeCell ref="B28:E28"/>
  </mergeCells>
  <conditionalFormatting sqref="B30:C35">
    <cfRule type="colorScale" priority="1">
      <colorScale>
        <cfvo type="min"/>
        <cfvo type="max"/>
        <color rgb="FF93C47D"/>
        <color rgb="FFE06666"/>
      </colorScale>
    </cfRule>
  </conditionalFormatting>
  <conditionalFormatting sqref="B17:E22 G19:G22">
    <cfRule type="colorScale" priority="2">
      <colorScale>
        <cfvo type="min"/>
        <cfvo type="formula" val="1000000"/>
        <cfvo type="max"/>
        <color rgb="FF93C47D"/>
        <color rgb="FFEA9999"/>
        <color rgb="FFE06666"/>
      </colorScale>
    </cfRule>
  </conditionalFormatting>
  <conditionalFormatting sqref="B43:E48">
    <cfRule type="colorScale" priority="3">
      <colorScale>
        <cfvo type="min"/>
        <cfvo type="max"/>
        <color rgb="FFE06666"/>
        <color rgb="FF93C47D"/>
      </colorScale>
    </cfRule>
  </conditionalFormatting>
  <conditionalFormatting sqref="B56:E61">
    <cfRule type="colorScale" priority="4">
      <colorScale>
        <cfvo type="min"/>
        <cfvo type="percentile" val="50"/>
        <cfvo type="max"/>
        <color rgb="FFE06666"/>
        <color rgb="FFBA9572"/>
        <color rgb="FF93C47D"/>
      </colorScale>
    </cfRule>
  </conditionalFormatting>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M64"/>
  <sheetViews>
    <sheetView workbookViewId="0">
      <selection activeCell="A1" sqref="A1"/>
    </sheetView>
  </sheetViews>
  <sheetFormatPr baseColWidth="8" defaultColWidth="12.63" defaultRowHeight="15.75" customHeight="1"/>
  <cols>
    <col width="21.13" customWidth="1" style="227" min="3" max="3"/>
    <col width="20" customWidth="1" style="227" min="6" max="7"/>
    <col width="82.25" customWidth="1" style="227" min="8" max="8"/>
  </cols>
  <sheetData>
    <row r="1">
      <c r="B1" s="51" t="inlineStr">
        <is>
          <t>Numer of Loops per Layer</t>
        </is>
      </c>
    </row>
    <row r="2">
      <c r="B2" s="52" t="inlineStr">
        <is>
          <t>Vector (RISCV)</t>
        </is>
      </c>
      <c r="C2" s="52" t="inlineStr">
        <is>
          <t>Scalar (RISCV)</t>
        </is>
      </c>
      <c r="D2" s="52" t="inlineStr">
        <is>
          <t>O2</t>
        </is>
      </c>
      <c r="E2" s="52" t="inlineStr">
        <is>
          <t>O3</t>
        </is>
      </c>
      <c r="F2" s="52" t="inlineStr">
        <is>
          <t>RAW</t>
        </is>
      </c>
      <c r="G2" s="52" t="inlineStr">
        <is>
          <t>Bottle Neck Loop</t>
        </is>
      </c>
      <c r="H2" s="52" t="inlineStr">
        <is>
          <t>Comments</t>
        </is>
      </c>
    </row>
    <row r="3">
      <c r="A3" s="52" t="inlineStr">
        <is>
          <t>hilbert</t>
        </is>
      </c>
      <c r="B3" s="55" t="n">
        <v>8192</v>
      </c>
      <c r="C3" s="55" t="n">
        <v>8192</v>
      </c>
      <c r="D3" s="55" t="n">
        <v>8192</v>
      </c>
      <c r="E3" s="55" t="n">
        <v>8192</v>
      </c>
      <c r="F3" s="70" t="n">
        <v>8192</v>
      </c>
    </row>
    <row r="4">
      <c r="A4" s="52" t="inlineStr">
        <is>
          <t>input_proj</t>
        </is>
      </c>
      <c r="B4" s="55" t="n">
        <v>528384</v>
      </c>
      <c r="C4" s="55" t="n">
        <v>528384</v>
      </c>
      <c r="D4" s="55" t="n">
        <v>528384</v>
      </c>
      <c r="E4" s="55" t="n">
        <v>528384</v>
      </c>
      <c r="F4" s="70" t="n">
        <v>528384</v>
      </c>
    </row>
    <row r="5">
      <c r="A5" s="52" t="inlineStr">
        <is>
          <t>s4_1</t>
        </is>
      </c>
      <c r="B5" s="59" t="n">
        <v>786624</v>
      </c>
      <c r="C5" s="61" t="n">
        <v>8652864</v>
      </c>
      <c r="D5" s="61" t="n">
        <v>8652864</v>
      </c>
      <c r="E5" s="61" t="n">
        <v>8652864</v>
      </c>
      <c r="F5" s="72" t="n">
        <v>8652864</v>
      </c>
    </row>
    <row r="6">
      <c r="A6" s="52" t="inlineStr">
        <is>
          <t>gelu_1</t>
        </is>
      </c>
      <c r="B6" s="59" t="n">
        <v>32768</v>
      </c>
      <c r="C6" s="61" t="n">
        <v>262144</v>
      </c>
      <c r="D6" s="61" t="n">
        <v>262144</v>
      </c>
      <c r="E6" s="61" t="n">
        <v>262144</v>
      </c>
      <c r="F6" s="72" t="n">
        <v>262144</v>
      </c>
    </row>
    <row r="7">
      <c r="A7" s="52" t="inlineStr">
        <is>
          <t>s4_2</t>
        </is>
      </c>
      <c r="B7" s="59" t="n">
        <v>786624</v>
      </c>
      <c r="C7" s="61" t="n">
        <v>8652864</v>
      </c>
      <c r="D7" s="61" t="n">
        <v>8652864</v>
      </c>
      <c r="E7" s="61" t="n">
        <v>8652864</v>
      </c>
      <c r="F7" s="72" t="n">
        <v>8652864</v>
      </c>
    </row>
    <row r="8">
      <c r="A8" s="52" t="inlineStr">
        <is>
          <t>gelu_2</t>
        </is>
      </c>
      <c r="B8" s="59" t="n">
        <v>32768</v>
      </c>
      <c r="C8" s="61" t="n">
        <v>262144</v>
      </c>
      <c r="D8" s="61" t="n">
        <v>262144</v>
      </c>
      <c r="E8" s="61" t="n">
        <v>262144</v>
      </c>
      <c r="F8" s="72" t="n">
        <v>262144</v>
      </c>
    </row>
    <row r="9">
      <c r="A9" s="52" t="inlineStr">
        <is>
          <t>ttls</t>
        </is>
      </c>
      <c r="B9" s="70" t="n">
        <v>64</v>
      </c>
      <c r="C9" s="70" t="n">
        <v>64</v>
      </c>
      <c r="D9" s="70" t="n">
        <v>64</v>
      </c>
      <c r="E9" s="70" t="n">
        <v>64</v>
      </c>
      <c r="F9" s="70" t="n">
        <v>64</v>
      </c>
    </row>
    <row r="10">
      <c r="A10" s="52" t="inlineStr">
        <is>
          <t>output_proj</t>
        </is>
      </c>
      <c r="B10" s="71" t="n">
        <v>37</v>
      </c>
      <c r="C10" s="72" t="n">
        <v>261</v>
      </c>
      <c r="D10" s="72" t="n">
        <v>261</v>
      </c>
      <c r="E10" s="72" t="n">
        <v>261</v>
      </c>
      <c r="F10" s="72" t="n">
        <v>261</v>
      </c>
    </row>
    <row r="11">
      <c r="A11" s="52" t="inlineStr">
        <is>
          <t>softmax</t>
        </is>
      </c>
      <c r="B11" s="70" t="n">
        <v>11</v>
      </c>
      <c r="C11" s="70" t="n">
        <v>11</v>
      </c>
      <c r="D11" s="70" t="n">
        <v>11</v>
      </c>
      <c r="E11" s="70" t="n">
        <v>11</v>
      </c>
      <c r="F11" s="70" t="n">
        <v>11</v>
      </c>
      <c r="M11" s="68" t="n"/>
    </row>
    <row r="12">
      <c r="M12" s="58" t="n"/>
    </row>
    <row r="13">
      <c r="M13" s="58" t="n"/>
    </row>
    <row r="14">
      <c r="M14" s="58" t="n"/>
    </row>
    <row r="15">
      <c r="B15" s="51" t="inlineStr">
        <is>
          <t>Total Instructions Executed per Layer</t>
        </is>
      </c>
      <c r="K15" s="66" t="n"/>
      <c r="M15" s="58" t="n"/>
    </row>
    <row r="16">
      <c r="B16" s="52" t="inlineStr">
        <is>
          <t>Vector (RISCV)</t>
        </is>
      </c>
      <c r="C16" s="52" t="inlineStr">
        <is>
          <t>Scalar (RISCV) Base-Line</t>
        </is>
      </c>
      <c r="D16" s="52" t="inlineStr">
        <is>
          <t>O2</t>
        </is>
      </c>
      <c r="E16" s="52" t="inlineStr">
        <is>
          <t>O3</t>
        </is>
      </c>
      <c r="F16" s="52" t="inlineStr">
        <is>
          <t>RAW</t>
        </is>
      </c>
      <c r="G16" s="52" t="n"/>
      <c r="H16" s="93" t="inlineStr">
        <is>
          <t>Measured on QEMU @ VLEN=256 (== VeeR). Vector=hotblocks; O2/O3=rdinstret. Scalar &amp; Loops pending.</t>
        </is>
      </c>
      <c r="K16" s="66" t="n"/>
      <c r="M16" s="58" t="n"/>
    </row>
    <row r="17">
      <c r="A17" s="52" t="inlineStr">
        <is>
          <t>hilbert</t>
        </is>
      </c>
      <c r="B17" s="94" t="n">
        <v>102403</v>
      </c>
      <c r="C17" s="80" t="n">
        <v>28672</v>
      </c>
      <c r="D17" s="81" t="n">
        <v>126388</v>
      </c>
      <c r="E17" s="81" t="n">
        <v>121756</v>
      </c>
      <c r="F17" s="61" t="n">
        <v>353320</v>
      </c>
      <c r="M17" s="58" t="n"/>
    </row>
    <row r="18">
      <c r="A18" s="52" t="inlineStr">
        <is>
          <t>input_proj</t>
        </is>
      </c>
      <c r="B18" s="87" t="n">
        <v>8151827</v>
      </c>
      <c r="C18" s="87" t="n">
        <v>3407872</v>
      </c>
      <c r="D18" s="87" t="n">
        <v>7629806</v>
      </c>
      <c r="E18" s="87" t="n">
        <v>30671726</v>
      </c>
      <c r="F18" s="97" t="n">
        <v>14760020</v>
      </c>
      <c r="M18" s="66" t="n"/>
    </row>
    <row r="19">
      <c r="A19" s="52" t="inlineStr">
        <is>
          <t>s4_1</t>
        </is>
      </c>
      <c r="B19" s="87" t="n">
        <v>7373450</v>
      </c>
      <c r="C19" s="99" t="n">
        <v>13198421142</v>
      </c>
      <c r="D19" s="101" t="n">
        <v>1251837654</v>
      </c>
      <c r="E19" s="101" t="n">
        <v>1053812503</v>
      </c>
      <c r="F19" s="103" t="n">
        <v>2959498023</v>
      </c>
      <c r="M19" s="66" t="n"/>
    </row>
    <row r="20">
      <c r="A20" s="52" t="inlineStr">
        <is>
          <t>gelu_1</t>
        </is>
      </c>
      <c r="B20" s="87" t="n">
        <v>1966096</v>
      </c>
      <c r="C20" s="105" t="n">
        <v>490509312</v>
      </c>
      <c r="D20" s="87" t="n">
        <v>155274941</v>
      </c>
      <c r="E20" s="87" t="n">
        <v>133690248</v>
      </c>
      <c r="F20" s="107" t="n">
        <v>362501458</v>
      </c>
      <c r="G20" s="112" t="n"/>
      <c r="M20" s="66" t="n"/>
    </row>
    <row r="21">
      <c r="A21" s="52" t="inlineStr">
        <is>
          <t>s4_2</t>
        </is>
      </c>
      <c r="B21" s="87" t="n">
        <v>7373450</v>
      </c>
      <c r="C21" s="99" t="n">
        <v>13198421142</v>
      </c>
      <c r="D21" s="101" t="n">
        <v>1053548206</v>
      </c>
      <c r="E21" s="96" t="n">
        <v>1029620714</v>
      </c>
      <c r="F21" s="103" t="n">
        <v>2956659194</v>
      </c>
      <c r="G21" s="112" t="n"/>
    </row>
    <row r="22">
      <c r="A22" s="52" t="inlineStr">
        <is>
          <t>gelu_2</t>
        </is>
      </c>
      <c r="B22" s="87" t="n">
        <v>1966096</v>
      </c>
      <c r="C22" s="105" t="n">
        <v>490509312</v>
      </c>
      <c r="D22" s="87" t="n">
        <v>168249086</v>
      </c>
      <c r="E22" s="87" t="n">
        <v>145919319</v>
      </c>
      <c r="F22" s="107" t="n">
        <v>362321079</v>
      </c>
      <c r="G22" s="112" t="n"/>
    </row>
    <row r="23">
      <c r="A23" s="52" t="inlineStr">
        <is>
          <t>ttls</t>
        </is>
      </c>
      <c r="B23" s="71" t="n">
        <v>456</v>
      </c>
      <c r="C23" s="114" t="n">
        <v>1280</v>
      </c>
      <c r="D23" s="116" t="n">
        <v>98346</v>
      </c>
      <c r="E23" s="72" t="n">
        <v>144460</v>
      </c>
      <c r="F23" s="118" t="n">
        <v>134922</v>
      </c>
    </row>
    <row r="24">
      <c r="A24" s="52" t="inlineStr">
        <is>
          <t>output_proj</t>
        </is>
      </c>
      <c r="B24" s="71" t="n">
        <v>7961</v>
      </c>
      <c r="C24" s="61" t="n">
        <v>819200</v>
      </c>
      <c r="D24" s="122" t="n">
        <v>223148</v>
      </c>
      <c r="E24" s="123" t="n">
        <v>219068</v>
      </c>
      <c r="F24" s="124" t="n">
        <v>212154</v>
      </c>
    </row>
    <row r="25">
      <c r="A25" s="52" t="inlineStr">
        <is>
          <t>softmax</t>
        </is>
      </c>
      <c r="B25" s="126" t="n">
        <v>129</v>
      </c>
      <c r="C25" s="128" t="n">
        <v>6953</v>
      </c>
      <c r="D25" s="130" t="n">
        <v>453636</v>
      </c>
      <c r="E25" s="132" t="n">
        <v>489576</v>
      </c>
      <c r="F25" s="134" t="n">
        <v>454524</v>
      </c>
    </row>
    <row r="26">
      <c r="B26" s="51" t="n"/>
      <c r="C26" s="51" t="n"/>
      <c r="D26" s="51" t="n"/>
      <c r="E26" s="51" t="n"/>
    </row>
    <row r="27">
      <c r="B27" s="51" t="n"/>
      <c r="C27" s="51" t="n"/>
      <c r="D27" s="51" t="n"/>
      <c r="E27" s="51" t="n"/>
    </row>
    <row r="28">
      <c r="B28" s="51" t="inlineStr">
        <is>
          <t>Total Instructions per Layer</t>
        </is>
      </c>
    </row>
    <row r="29">
      <c r="B29" s="52" t="inlineStr">
        <is>
          <t>Vector (RISCV)</t>
        </is>
      </c>
      <c r="C29" s="52" t="inlineStr">
        <is>
          <t>Scalar (RISCV)</t>
        </is>
      </c>
      <c r="D29" s="52" t="inlineStr">
        <is>
          <t>O2</t>
        </is>
      </c>
      <c r="E29" s="52" t="inlineStr">
        <is>
          <t>O3</t>
        </is>
      </c>
      <c r="F29" s="52" t="inlineStr">
        <is>
          <t>RAW</t>
        </is>
      </c>
      <c r="H29" s="93" t="inlineStr">
        <is>
          <t>Static: asm from .s source; O2/O3 from objdump of ELF (model funcs only). input_proj==output_proj (shared 'linear'); s4_1==s4_2 (shared code).</t>
        </is>
      </c>
    </row>
    <row r="30">
      <c r="A30" s="52" t="inlineStr">
        <is>
          <t>hilbert</t>
        </is>
      </c>
      <c r="B30" s="126" t="n">
        <v>28</v>
      </c>
      <c r="C30" s="126" t="n">
        <v>28</v>
      </c>
      <c r="D30" s="126" t="n">
        <v>19</v>
      </c>
      <c r="E30" s="126" t="n">
        <v>21</v>
      </c>
      <c r="F30" s="72" t="n">
        <v>72</v>
      </c>
    </row>
    <row r="31">
      <c r="A31" s="52" t="inlineStr">
        <is>
          <t>input_proj</t>
        </is>
      </c>
      <c r="B31" s="126" t="n">
        <v>66</v>
      </c>
      <c r="C31" s="126" t="n">
        <v>58</v>
      </c>
      <c r="D31" s="126" t="n">
        <v>74</v>
      </c>
      <c r="E31" s="126" t="n">
        <v>69</v>
      </c>
      <c r="F31" s="72" t="n">
        <v>79</v>
      </c>
    </row>
    <row r="32">
      <c r="A32" s="52" t="inlineStr">
        <is>
          <t>s4_1</t>
        </is>
      </c>
      <c r="B32" s="126" t="n">
        <v>337</v>
      </c>
      <c r="C32" s="126" t="n">
        <v>253</v>
      </c>
      <c r="D32" s="126" t="n">
        <v>219</v>
      </c>
      <c r="E32" s="126" t="n">
        <v>219</v>
      </c>
      <c r="F32" s="72" t="n">
        <v>1149</v>
      </c>
    </row>
    <row r="33">
      <c r="A33" s="52" t="inlineStr">
        <is>
          <t>gelu_1</t>
        </is>
      </c>
      <c r="B33" s="126" t="n">
        <v>93</v>
      </c>
      <c r="C33" s="126" t="n">
        <v>76</v>
      </c>
      <c r="D33" s="126" t="n">
        <v>47</v>
      </c>
      <c r="E33" s="126" t="n">
        <v>47</v>
      </c>
      <c r="F33" s="144" t="n">
        <v>84</v>
      </c>
    </row>
    <row r="34">
      <c r="A34" s="52" t="inlineStr">
        <is>
          <t>s4_2</t>
        </is>
      </c>
      <c r="B34" s="126" t="n">
        <v>337</v>
      </c>
      <c r="C34" s="126" t="n">
        <v>253</v>
      </c>
      <c r="D34" s="126" t="n">
        <v>219</v>
      </c>
      <c r="E34" s="126" t="n">
        <v>219</v>
      </c>
      <c r="F34" s="72" t="n">
        <v>1149</v>
      </c>
    </row>
    <row r="35">
      <c r="A35" s="52" t="inlineStr">
        <is>
          <t>gelu_2</t>
        </is>
      </c>
      <c r="B35" s="126" t="n">
        <v>93</v>
      </c>
      <c r="C35" s="126" t="n">
        <v>76</v>
      </c>
      <c r="D35" s="126" t="n">
        <v>47</v>
      </c>
      <c r="E35" s="126" t="n">
        <v>47</v>
      </c>
      <c r="F35" s="144" t="n">
        <v>84</v>
      </c>
    </row>
    <row r="36">
      <c r="A36" s="52" t="inlineStr">
        <is>
          <t>ttls</t>
        </is>
      </c>
      <c r="B36" s="149" t="n">
        <v>14</v>
      </c>
      <c r="C36" s="129" t="n">
        <v>14</v>
      </c>
      <c r="D36" s="151" t="n">
        <v>11</v>
      </c>
      <c r="E36" s="152" t="n">
        <v>90</v>
      </c>
      <c r="F36" s="154" t="n">
        <v>33</v>
      </c>
    </row>
    <row r="37">
      <c r="A37" s="52" t="inlineStr">
        <is>
          <t>output_proj</t>
        </is>
      </c>
      <c r="B37" s="156" t="n">
        <v>66</v>
      </c>
      <c r="C37" s="71" t="n">
        <v>58</v>
      </c>
      <c r="D37" s="157" t="n">
        <v>74</v>
      </c>
      <c r="E37" s="159" t="n">
        <v>69</v>
      </c>
      <c r="F37" s="72" t="n">
        <v>79</v>
      </c>
    </row>
    <row r="38">
      <c r="A38" s="52" t="inlineStr">
        <is>
          <t>softmax</t>
        </is>
      </c>
      <c r="B38" s="161" t="n">
        <v>51</v>
      </c>
      <c r="C38" s="71" t="n">
        <v>51</v>
      </c>
      <c r="D38" s="163" t="n">
        <v>63</v>
      </c>
      <c r="E38" s="163" t="n">
        <v>63</v>
      </c>
      <c r="F38" s="72" t="n">
        <v>93</v>
      </c>
    </row>
    <row r="39">
      <c r="B39" s="51" t="n"/>
      <c r="C39" s="51" t="n"/>
      <c r="D39" s="51" t="n"/>
      <c r="E39" s="51" t="n"/>
      <c r="I39" s="51" t="n"/>
      <c r="J39" s="68" t="n"/>
      <c r="K39" s="68" t="n"/>
      <c r="L39" s="68" t="n"/>
    </row>
    <row r="40">
      <c r="B40" s="51" t="n"/>
      <c r="C40" s="51" t="n"/>
      <c r="D40" s="51" t="n"/>
      <c r="E40" s="51" t="n"/>
      <c r="J40" s="66" t="n"/>
      <c r="K40" s="66" t="n"/>
      <c r="L40" s="165" t="n"/>
    </row>
    <row r="41">
      <c r="B41" s="51" t="inlineStr">
        <is>
          <t>Total Vector Instructions per Layer</t>
        </is>
      </c>
      <c r="I41" s="51" t="n"/>
      <c r="J41" s="68" t="n"/>
      <c r="K41" s="68" t="n"/>
      <c r="L41" s="68" t="n"/>
    </row>
    <row r="42">
      <c r="B42" s="52" t="inlineStr">
        <is>
          <t>Vector (RISCV)</t>
        </is>
      </c>
      <c r="C42" s="52" t="inlineStr">
        <is>
          <t>Scalar (RISCV)</t>
        </is>
      </c>
      <c r="D42" s="52" t="inlineStr">
        <is>
          <t>O2</t>
        </is>
      </c>
      <c r="E42" s="52" t="inlineStr">
        <is>
          <t>O3</t>
        </is>
      </c>
      <c r="F42" s="52" t="inlineStr">
        <is>
          <t>RAW</t>
        </is>
      </c>
      <c r="J42" s="66" t="n"/>
      <c r="K42" s="66" t="n"/>
      <c r="L42" s="165" t="n"/>
    </row>
    <row r="43">
      <c r="A43" s="52" t="inlineStr">
        <is>
          <t>hilbert</t>
        </is>
      </c>
      <c r="B43" s="70" t="n">
        <v>0</v>
      </c>
      <c r="C43" s="70" t="n">
        <v>0</v>
      </c>
      <c r="D43" s="132" t="n">
        <v>0</v>
      </c>
      <c r="E43" s="132" t="n">
        <v>0</v>
      </c>
      <c r="F43" s="70" t="n">
        <v>0</v>
      </c>
      <c r="J43" s="66" t="n"/>
      <c r="K43" s="66" t="n"/>
      <c r="L43" s="170" t="n"/>
    </row>
    <row r="44">
      <c r="A44" s="52" t="inlineStr">
        <is>
          <t>input_proj</t>
        </is>
      </c>
      <c r="B44" s="171" t="n">
        <v>7</v>
      </c>
      <c r="C44" s="72" t="n">
        <v>0</v>
      </c>
      <c r="D44" s="172" t="n">
        <v>9</v>
      </c>
      <c r="E44" s="172" t="n">
        <v>9</v>
      </c>
      <c r="F44" s="72" t="n">
        <v>0</v>
      </c>
      <c r="J44" s="66" t="n"/>
      <c r="K44" s="66" t="n"/>
      <c r="L44" s="170" t="n"/>
    </row>
    <row r="45">
      <c r="A45" s="52" t="inlineStr">
        <is>
          <t>s4_1</t>
        </is>
      </c>
      <c r="B45" s="71" t="n">
        <v>135</v>
      </c>
      <c r="C45" s="72" t="n">
        <v>0</v>
      </c>
      <c r="D45" s="174" t="n">
        <v>29</v>
      </c>
      <c r="E45" s="174" t="n">
        <v>29</v>
      </c>
      <c r="F45" s="176" t="n">
        <v>77</v>
      </c>
    </row>
    <row r="46">
      <c r="A46" s="52" t="inlineStr">
        <is>
          <t>gelu_1</t>
        </is>
      </c>
      <c r="B46" s="71" t="n">
        <v>47</v>
      </c>
      <c r="C46" s="178" t="n">
        <v>38</v>
      </c>
      <c r="D46" s="132" t="n">
        <v>0</v>
      </c>
      <c r="E46" s="132" t="n">
        <v>0</v>
      </c>
      <c r="F46" s="72" t="n">
        <v>0</v>
      </c>
    </row>
    <row r="47">
      <c r="A47" s="52" t="inlineStr">
        <is>
          <t>s4_2</t>
        </is>
      </c>
      <c r="B47" s="71" t="n">
        <v>135</v>
      </c>
      <c r="C47" s="72" t="n">
        <v>0</v>
      </c>
      <c r="D47" s="174" t="n">
        <v>29</v>
      </c>
      <c r="E47" s="174" t="n">
        <v>29</v>
      </c>
      <c r="F47" s="176" t="n">
        <v>77</v>
      </c>
    </row>
    <row r="48">
      <c r="A48" s="52" t="inlineStr">
        <is>
          <t>gelu_2</t>
        </is>
      </c>
      <c r="B48" s="71" t="n">
        <v>47</v>
      </c>
      <c r="C48" s="178" t="n">
        <v>38</v>
      </c>
      <c r="D48" s="132" t="n">
        <v>0</v>
      </c>
      <c r="E48" s="132" t="n">
        <v>0</v>
      </c>
      <c r="F48" s="72" t="n">
        <v>0</v>
      </c>
    </row>
    <row r="49">
      <c r="A49" s="52" t="inlineStr">
        <is>
          <t>ttls</t>
        </is>
      </c>
      <c r="B49" s="72" t="n">
        <v>0</v>
      </c>
      <c r="C49" s="72" t="n">
        <v>0</v>
      </c>
      <c r="D49" s="132" t="n">
        <v>0</v>
      </c>
      <c r="E49" s="126" t="n">
        <v>33</v>
      </c>
      <c r="F49" s="72" t="n">
        <v>0</v>
      </c>
    </row>
    <row r="50">
      <c r="A50" s="52" t="inlineStr">
        <is>
          <t>output_proj</t>
        </is>
      </c>
      <c r="B50" s="171" t="n">
        <v>7</v>
      </c>
      <c r="C50" s="72" t="n">
        <v>0</v>
      </c>
      <c r="D50" s="172" t="n">
        <v>9</v>
      </c>
      <c r="E50" s="172" t="n">
        <v>9</v>
      </c>
      <c r="F50" s="72" t="n">
        <v>0</v>
      </c>
      <c r="J50" s="51" t="inlineStr">
        <is>
          <t>Layer</t>
        </is>
      </c>
      <c r="K50" s="68" t="inlineStr">
        <is>
          <t>Vector instr</t>
        </is>
      </c>
      <c r="L50" s="68" t="inlineStr">
        <is>
          <t>Total</t>
        </is>
      </c>
      <c r="M50" s="68" t="inlineStr">
        <is>
          <t>% Vector</t>
        </is>
      </c>
    </row>
    <row r="51">
      <c r="A51" s="52" t="inlineStr">
        <is>
          <t>softmax</t>
        </is>
      </c>
      <c r="B51" s="72" t="n">
        <v>0</v>
      </c>
      <c r="C51" s="72" t="n">
        <v>0</v>
      </c>
      <c r="D51" s="71" t="n">
        <v>6</v>
      </c>
      <c r="E51" s="71" t="n">
        <v>6</v>
      </c>
      <c r="F51" s="72" t="n">
        <v>0</v>
      </c>
      <c r="J51" s="6" t="inlineStr">
        <is>
          <t>hilbert</t>
        </is>
      </c>
      <c r="K51" s="66" t="n">
        <v>0</v>
      </c>
      <c r="L51" s="66" t="n">
        <v>28</v>
      </c>
      <c r="M51" s="165" t="n">
        <v>0</v>
      </c>
    </row>
    <row r="52">
      <c r="J52" s="6" t="inlineStr">
        <is>
          <t>input_proj</t>
        </is>
      </c>
      <c r="K52" s="66" t="n">
        <v>7</v>
      </c>
      <c r="L52" s="66" t="n">
        <v>66</v>
      </c>
      <c r="M52" s="170" t="n">
        <v>0.106</v>
      </c>
    </row>
    <row r="53">
      <c r="J53" s="6" t="inlineStr">
        <is>
          <t>s4_1</t>
        </is>
      </c>
      <c r="K53" s="66" t="n">
        <v>145</v>
      </c>
      <c r="L53" s="66" t="n">
        <v>372</v>
      </c>
      <c r="M53" s="170" t="n">
        <v>0.39</v>
      </c>
    </row>
    <row r="54">
      <c r="B54" s="177" t="inlineStr">
        <is>
          <t>Percentage of Vector Instructions</t>
        </is>
      </c>
      <c r="J54" s="6" t="inlineStr">
        <is>
          <t>gelu_1</t>
        </is>
      </c>
      <c r="K54" s="66" t="n">
        <v>47</v>
      </c>
      <c r="L54" s="66" t="n">
        <v>93</v>
      </c>
      <c r="M54" s="170" t="n">
        <v>0.505</v>
      </c>
    </row>
    <row r="55">
      <c r="B55" s="52" t="inlineStr">
        <is>
          <t>Vector (RISCV)</t>
        </is>
      </c>
      <c r="C55" s="52" t="inlineStr">
        <is>
          <t>Scalar (RISCV)</t>
        </is>
      </c>
      <c r="D55" s="52" t="inlineStr">
        <is>
          <t>O2</t>
        </is>
      </c>
      <c r="E55" s="52" t="inlineStr">
        <is>
          <t>O3</t>
        </is>
      </c>
      <c r="F55" s="52" t="inlineStr">
        <is>
          <t>RAW</t>
        </is>
      </c>
      <c r="J55" s="6" t="inlineStr">
        <is>
          <t>s4_2</t>
        </is>
      </c>
      <c r="K55" s="66" t="n">
        <v>145</v>
      </c>
      <c r="L55" s="66" t="n">
        <v>372</v>
      </c>
      <c r="M55" s="170" t="n">
        <v>0.39</v>
      </c>
    </row>
    <row r="56">
      <c r="A56" s="52" t="inlineStr">
        <is>
          <t>hilbert</t>
        </is>
      </c>
      <c r="B56" s="190" t="n">
        <v>0</v>
      </c>
      <c r="C56" s="179" t="n">
        <v>0</v>
      </c>
      <c r="D56" s="179" t="n">
        <v>0</v>
      </c>
      <c r="E56" s="179" t="n">
        <v>0</v>
      </c>
      <c r="F56" s="180" t="n">
        <v>0</v>
      </c>
      <c r="J56" s="6" t="inlineStr">
        <is>
          <t>gelu_2</t>
        </is>
      </c>
      <c r="K56" s="66" t="n">
        <v>47</v>
      </c>
      <c r="L56" s="66" t="n">
        <v>93</v>
      </c>
      <c r="M56" s="170" t="n">
        <v>0.505</v>
      </c>
    </row>
    <row r="57">
      <c r="A57" s="52" t="inlineStr">
        <is>
          <t>input_proj</t>
        </is>
      </c>
      <c r="B57" s="192" t="n">
        <v>0.106</v>
      </c>
      <c r="C57" s="179" t="n">
        <v>0</v>
      </c>
      <c r="D57" s="194" t="n">
        <v>0.122</v>
      </c>
      <c r="E57" s="195" t="n">
        <v>0.13</v>
      </c>
      <c r="F57" s="185" t="n">
        <v>0</v>
      </c>
      <c r="J57" s="6" t="inlineStr">
        <is>
          <t>ttls</t>
        </is>
      </c>
      <c r="K57" s="66" t="n">
        <v>0</v>
      </c>
      <c r="L57" s="66" t="n">
        <v>14</v>
      </c>
      <c r="M57" s="165" t="n">
        <v>0</v>
      </c>
    </row>
    <row r="58">
      <c r="A58" s="52" t="inlineStr">
        <is>
          <t>s4_1</t>
        </is>
      </c>
      <c r="B58" s="196" t="n">
        <v>0.401</v>
      </c>
      <c r="C58" s="179" t="n">
        <v>0</v>
      </c>
      <c r="D58" s="195" t="n">
        <v>0.132</v>
      </c>
      <c r="E58" s="195" t="n">
        <v>0.132</v>
      </c>
      <c r="F58" s="200" t="n">
        <v>0.067</v>
      </c>
      <c r="J58" s="6" t="inlineStr">
        <is>
          <t>output_proj</t>
        </is>
      </c>
      <c r="K58" s="66" t="n">
        <v>7</v>
      </c>
      <c r="L58" s="66" t="n">
        <v>66</v>
      </c>
      <c r="M58" s="170" t="n">
        <v>0.106</v>
      </c>
    </row>
    <row r="59">
      <c r="A59" s="52" t="inlineStr">
        <is>
          <t>gelu_1</t>
        </is>
      </c>
      <c r="B59" s="196" t="n">
        <v>0.505</v>
      </c>
      <c r="C59" s="188" t="n">
        <v>0.5</v>
      </c>
      <c r="D59" s="179" t="n">
        <v>0</v>
      </c>
      <c r="E59" s="179" t="n">
        <v>0</v>
      </c>
      <c r="F59" s="185" t="n">
        <v>0</v>
      </c>
      <c r="J59" s="6" t="inlineStr">
        <is>
          <t>softmax</t>
        </is>
      </c>
      <c r="K59" s="66" t="n">
        <v>0</v>
      </c>
      <c r="L59" s="66" t="n">
        <v>51</v>
      </c>
      <c r="M59" s="165" t="n">
        <v>0</v>
      </c>
    </row>
    <row r="60">
      <c r="A60" s="52" t="inlineStr">
        <is>
          <t>s4_2</t>
        </is>
      </c>
      <c r="B60" s="196" t="n">
        <v>0.401</v>
      </c>
      <c r="C60" s="179" t="n">
        <v>0</v>
      </c>
      <c r="D60" s="195" t="n">
        <v>0.132</v>
      </c>
      <c r="E60" s="195" t="n">
        <v>0.132</v>
      </c>
      <c r="F60" s="200" t="n">
        <v>0.067</v>
      </c>
    </row>
    <row r="61">
      <c r="A61" s="52" t="inlineStr">
        <is>
          <t>gelu_2</t>
        </is>
      </c>
      <c r="B61" s="196" t="n">
        <v>0.505</v>
      </c>
      <c r="C61" s="188" t="n">
        <v>0.5</v>
      </c>
      <c r="D61" s="179" t="n">
        <v>0</v>
      </c>
      <c r="E61" s="179" t="n">
        <v>0</v>
      </c>
      <c r="F61" s="185" t="n">
        <v>0</v>
      </c>
    </row>
    <row r="62">
      <c r="A62" s="52" t="inlineStr">
        <is>
          <t>ttls</t>
        </is>
      </c>
      <c r="B62" s="201" t="n">
        <v>0</v>
      </c>
      <c r="C62" s="185" t="n">
        <v>0</v>
      </c>
      <c r="D62" s="191" t="n">
        <v>0</v>
      </c>
      <c r="E62" s="193" t="n">
        <v>0.367</v>
      </c>
      <c r="F62" s="185" t="n">
        <v>0</v>
      </c>
    </row>
    <row r="63">
      <c r="A63" s="52" t="inlineStr">
        <is>
          <t>output_proj</t>
        </is>
      </c>
      <c r="B63" s="192" t="n">
        <v>0.106</v>
      </c>
      <c r="C63" s="185" t="n">
        <v>0</v>
      </c>
      <c r="D63" s="202" t="n">
        <v>0.122</v>
      </c>
      <c r="E63" s="196" t="n">
        <v>0.13</v>
      </c>
      <c r="F63" s="185" t="n">
        <v>0</v>
      </c>
    </row>
    <row r="64">
      <c r="A64" s="52" t="inlineStr">
        <is>
          <t>softmax</t>
        </is>
      </c>
      <c r="B64" s="201" t="n">
        <v>0</v>
      </c>
      <c r="C64" s="185" t="n">
        <v>0</v>
      </c>
      <c r="D64" s="196" t="n">
        <v>0.095</v>
      </c>
      <c r="E64" s="196" t="n">
        <v>0.095</v>
      </c>
      <c r="F64" s="185" t="n">
        <v>0</v>
      </c>
    </row>
  </sheetData>
  <mergeCells count="5">
    <mergeCell ref="B41:E41"/>
    <mergeCell ref="B1:G1"/>
    <mergeCell ref="B54:E54"/>
    <mergeCell ref="B15:E15"/>
    <mergeCell ref="B28:E28"/>
  </mergeCells>
  <conditionalFormatting sqref="C56:E61">
    <cfRule type="colorScale" priority="1">
      <colorScale>
        <cfvo type="min"/>
        <cfvo type="percentile" val="50"/>
        <cfvo type="max"/>
        <color rgb="FFE06666"/>
        <color rgb="FFBA9572"/>
        <color rgb="FF93C47D"/>
      </colorScale>
    </cfRule>
  </conditionalFormatting>
  <conditionalFormatting sqref="B17:F25">
    <cfRule type="colorScale" priority="2">
      <colorScale>
        <cfvo type="min"/>
        <cfvo type="formula" val="1000000"/>
        <cfvo type="max"/>
        <color rgb="FF6AA84F"/>
        <color rgb="FFEA9999"/>
        <color rgb="FFCC0000"/>
      </colorScale>
    </cfRule>
  </conditionalFormatting>
  <conditionalFormatting sqref="B25:B35 C26:C35 D25:E35">
    <cfRule type="colorScale" priority="3">
      <colorScale>
        <cfvo type="min"/>
        <cfvo type="max"/>
        <color rgb="FF93C47D"/>
        <color rgb="FFE06666"/>
      </colorScale>
    </cfRule>
  </conditionalFormatting>
  <conditionalFormatting sqref="B14:B19 C14:C16 D14:E19">
    <cfRule type="colorScale" priority="4">
      <colorScale>
        <cfvo type="min"/>
        <cfvo type="max"/>
        <color rgb="FF93C47D"/>
        <color rgb="FFE06666"/>
      </colorScale>
    </cfRule>
  </conditionalFormatting>
  <conditionalFormatting sqref="B35:B40 C39:C40 D35:E40">
    <cfRule type="colorScale" priority="5">
      <colorScale>
        <cfvo type="min"/>
        <cfvo type="formula" val="5"/>
        <cfvo type="max"/>
        <color rgb="FFEA9999"/>
        <color rgb="FFB6D7A8"/>
        <color rgb="FF6AA84F"/>
      </colorScale>
    </cfRule>
  </conditionalFormatting>
  <conditionalFormatting sqref="D43:E50">
    <cfRule type="colorScale" priority="6">
      <colorScale>
        <cfvo type="min"/>
        <cfvo type="max"/>
        <color rgb="FFE06666"/>
        <color rgb="FF93C47D"/>
      </colorScale>
    </cfRule>
  </conditionalFormatting>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K37"/>
  <sheetViews>
    <sheetView workbookViewId="0">
      <selection activeCell="A1" sqref="A1"/>
    </sheetView>
  </sheetViews>
  <sheetFormatPr baseColWidth="8" defaultColWidth="12.63" defaultRowHeight="15.75" customHeight="1"/>
  <cols>
    <col width="18" customWidth="1" style="227" min="1" max="1"/>
    <col width="50.75" customWidth="1" style="227" min="2" max="2"/>
    <col width="157.38" customWidth="1" style="227" min="3" max="3"/>
  </cols>
  <sheetData>
    <row r="1">
      <c r="A1" s="69" t="inlineStr">
        <is>
          <t># Instructions</t>
        </is>
      </c>
      <c r="B1" s="52" t="inlineStr">
        <is>
          <t>Description</t>
        </is>
      </c>
      <c r="C1" s="52" t="inlineStr">
        <is>
          <t>Additional Notes</t>
        </is>
      </c>
    </row>
    <row r="2">
      <c r="A2" s="58" t="n">
        <v>91215510431</v>
      </c>
      <c r="B2" s="6" t="inlineStr">
        <is>
          <t>Original</t>
        </is>
      </c>
      <c r="C2" s="6" t="inlineStr">
        <is>
          <t>convolution + Taylor baseline; least = O2; validated (sample 0: 9/9 layers, preds 5/5)</t>
        </is>
      </c>
    </row>
    <row r="3">
      <c r="A3" s="58" t="n">
        <v>6874464452</v>
      </c>
      <c r="B3" s="6" t="inlineStr">
        <is>
          <t>s4_1, s4_2: convolution → recurrent scan</t>
        </is>
      </c>
      <c r="C3" s="6" t="inlineStr">
        <is>
          <t>13.3× vs original; least = O3; validated ✓</t>
        </is>
      </c>
      <c r="D3" s="68" t="n"/>
      <c r="E3" s="68" t="n"/>
      <c r="F3" s="51" t="n"/>
      <c r="G3" s="51" t="n"/>
    </row>
    <row r="4">
      <c r="A4" s="58" t="n">
        <v>5739070740</v>
      </c>
      <c r="B4" s="6" t="inlineStr">
        <is>
          <t>s4d, gelu: Taylor → Remez math</t>
        </is>
      </c>
      <c r="C4" s="6" t="inlineStr">
        <is>
          <t>−16.5% vs opt #1; GELU 3.3× cheaper; least = O3; validated ✓</t>
        </is>
      </c>
      <c r="D4" s="66" t="n"/>
    </row>
    <row r="5">
      <c r="A5" s="58" t="n">
        <v>5072864672</v>
      </c>
      <c r="B5" s="6" t="inlineStr">
        <is>
          <t>s4d: drop unused Im(C·x) in scan</t>
        </is>
      </c>
      <c r="C5" s="6" t="inlineStr">
        <is>
          <t>−11.6% vs opt #4; bit-exact, validated ✓; least = Raw</t>
        </is>
      </c>
      <c r="D5" s="66" t="n"/>
    </row>
    <row r="6">
      <c r="A6" s="112" t="n">
        <v>5091589602</v>
      </c>
      <c r="B6" s="6" t="inlineStr">
        <is>
          <t>s4d: hoist loop-invariant C loads</t>
        </is>
      </c>
      <c r="C6" s="6" t="inlineStr">
        <is>
          <t>helps O2 (9.04B→5.82B); marginally raises the -O0 least; bit-exact ✓</t>
        </is>
      </c>
      <c r="D6" s="66" t="n"/>
    </row>
    <row r="7">
      <c r="A7" s="112" t="n">
        <v>3089760552</v>
      </c>
      <c r="B7" s="6" t="inlineStr">
        <is>
          <t>s4d: hand-written FP asm for scan complex-update</t>
        </is>
      </c>
      <c r="C7" s="6" t="inlineStr">
        <is>
          <t>removes complex_mul call; validated 5/5 predictions on RISC-V (O0 &amp; O2); least = O3</t>
        </is>
      </c>
      <c r="D7" s="68" t="n"/>
      <c r="E7" s="68" t="n"/>
      <c r="F7" s="51" t="n"/>
      <c r="G7" s="51" t="n"/>
    </row>
    <row r="8">
      <c r="A8" s="112" t="n">
        <v>3240853929</v>
      </c>
      <c r="B8" s="6" t="inlineStr">
        <is>
          <t>s4d: RVV vectorize scan (reverted)</t>
        </is>
      </c>
      <c r="C8" s="6" t="inlineStr">
        <is>
          <t>4.9%  per-timestep reduction bottleneck; -O0 intrinsic spills → Raw 12.7B; kept scalar asm instead</t>
        </is>
      </c>
      <c r="D8" s="66" t="n"/>
      <c r="E8" s="58" t="n"/>
    </row>
    <row r="9">
      <c r="A9" s="58" t="n">
        <v>3141234169</v>
      </c>
      <c r="B9" s="6" t="inlineStr">
        <is>
          <t>s4d: whole 32-state loop in inline asm (reverted)</t>
        </is>
      </c>
      <c r="C9" s="6" t="inlineStr">
        <is>
          <t>1.7% vs opt #5  hand-writing the full loop prevents the compiler from optimizing loop control; kept opt #5's body-asm as best; least = O2</t>
        </is>
      </c>
      <c r="D9" s="66" t="n"/>
      <c r="E9" s="58" t="n"/>
    </row>
    <row r="10">
      <c r="A10" s="58" t="n">
        <v>2676998971</v>
      </c>
      <c r="B10" s="6" t="inlineStr">
        <is>
          <t>s4d: RVV-vectorize scan (constants resident, m4, 1 reduction)</t>
        </is>
      </c>
      <c r="C10" s="6" t="inlineStr">
        <is>
          <t>−13.4% vs opt #5, new best; validated 5/5; least = O2. (Raw balloons to 7.6B — RVV intrinsics spill hard at -O0; that's why least = O2 now.)</t>
        </is>
      </c>
      <c r="D10" s="66" t="n"/>
      <c r="E10" s="58" t="n"/>
    </row>
    <row r="11">
      <c r="A11" s="58" t="n">
        <v>2993366051</v>
      </c>
      <c r="B11" s="6" t="inlineStr">
        <is>
          <t>gelu: hand-vectorize (RVV m4) w/ vectorized Remez exp+tanh</t>
        </is>
      </c>
      <c r="C11" s="6" t="inlineStr">
        <is>
          <t>Regression vs opt #8. Compiler already auto-vectorizes the elementwise GELU at O2, so manual RVV adds ~0 and perturbed s4d codegen upward. Kept as negative result; reverted.</t>
        </is>
      </c>
      <c r="D11" s="66" t="n"/>
      <c r="E11" s="58" t="n"/>
    </row>
    <row r="12">
      <c r="A12" s="58" t="n">
        <v>3243686632</v>
      </c>
      <c r="B12" s="6" t="inlineStr">
        <is>
          <t>s4_1/s4_2: unordered reduction (vfredusum) in scan</t>
        </is>
      </c>
      <c r="C12" s="6" t="inlineStr">
        <is>
          <t>Regression vs opt #8. Unordered reduction not cheaper than ordered vfredosum under QEMU; ordered version (opt #8) stays best. Reverted.</t>
        </is>
      </c>
      <c r="F12" s="68" t="n"/>
      <c r="G12" s="51" t="n"/>
      <c r="H12" s="51" t="n"/>
      <c r="I12" s="68" t="n"/>
      <c r="J12" s="51" t="n"/>
      <c r="K12" s="51" t="n"/>
    </row>
    <row r="13">
      <c r="A13" s="112" t="n">
        <v>3512757193</v>
      </c>
      <c r="B13" s="6" t="inlineStr">
        <is>
          <t>s4_1/s4_2: vectorize across channels (kill reduction)</t>
        </is>
      </c>
      <c r="C13" s="93" t="inlineStr">
        <is>
          <t>Regression vs opt #8. Removes all ~524k reductions/layer but the 32-state batch spills out of registers; added state memory traffic outweighs saved reductions. least = O2 (3.51B). Predictions 5/5 correct; reverted.</t>
        </is>
      </c>
      <c r="F13" s="58" t="n"/>
      <c r="I13" s="58" t="n"/>
    </row>
    <row r="14">
      <c r="A14" s="112" t="inlineStr">
        <is>
          <t>1,821,992,255s4d: fold B̄ into C̄ (change of variables) + inline math (1 TU) + vectorized GELUNew best, ~50× vs original. Folding B̄ into C̄ frees 2 vector registers so the scan stops spilling — that alone is the −30% step (2.68B→~1.87B). Inline math + vectorized GELU take it the rest of the way. least = O3; validated 5/5 ✓</t>
        </is>
      </c>
      <c r="H14" s="112" t="n"/>
      <c r="I14" s="58" t="n"/>
    </row>
    <row r="15">
      <c r="A15" s="112" t="n"/>
    </row>
    <row r="16">
      <c r="A16" s="112" t="n"/>
    </row>
    <row r="17">
      <c r="A17" s="112" t="inlineStr">
        <is>
          <t>(not sure where to add this)</t>
        </is>
      </c>
    </row>
    <row r="18">
      <c r="A18" s="112" t="n">
        <v>525986934</v>
      </c>
      <c r="B18" s="6" t="inlineStr">
        <is>
          <t>running the test.c dynamic count from our c branch (15/07/26)</t>
        </is>
      </c>
    </row>
    <row r="19">
      <c r="A19" s="112" t="n">
        <v>232927087</v>
      </c>
      <c r="B19" s="6" t="inlineStr">
        <is>
          <t>precomputing matrix C and only loading D once per channel in nn.c</t>
        </is>
      </c>
      <c r="C19" s="109" t="inlineStr">
        <is>
          <t>-55.72% dynamic instruction count in test.c compiled using our make file (o2 flag)</t>
        </is>
      </c>
    </row>
    <row r="20">
      <c r="A20" s="112" t="n"/>
    </row>
    <row r="21">
      <c r="A21" s="112" t="n"/>
    </row>
    <row r="22">
      <c r="A22" s="112" t="n"/>
    </row>
    <row r="24">
      <c r="A24" s="112" t="n"/>
    </row>
    <row r="25">
      <c r="A25" s="112" t="n"/>
    </row>
    <row r="26">
      <c r="A26" s="112" t="n"/>
    </row>
    <row r="27">
      <c r="A27" s="120" t="n"/>
    </row>
    <row r="28">
      <c r="A28" s="112" t="n"/>
    </row>
    <row r="29">
      <c r="A29" s="112" t="n"/>
    </row>
    <row r="30">
      <c r="A30" s="112" t="n"/>
    </row>
    <row r="31">
      <c r="A31" s="112" t="n"/>
    </row>
    <row r="32">
      <c r="A32" s="112" t="n"/>
    </row>
    <row r="33">
      <c r="A33" s="112" t="n"/>
    </row>
    <row r="34">
      <c r="A34" s="112" t="n"/>
    </row>
    <row r="35">
      <c r="A35" s="112" t="n"/>
    </row>
    <row r="36">
      <c r="A36" s="112" t="n"/>
    </row>
    <row r="37">
      <c r="A37" s="112" t="n"/>
    </row>
  </sheetData>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L23"/>
  <sheetViews>
    <sheetView workbookViewId="0">
      <selection activeCell="A1" sqref="A1"/>
    </sheetView>
  </sheetViews>
  <sheetFormatPr baseColWidth="8" defaultColWidth="12.63" defaultRowHeight="15.75" customHeight="1"/>
  <cols>
    <col width="48.88" customWidth="1" style="227" min="1" max="1"/>
    <col width="28.13" customWidth="1" style="227" min="2" max="2"/>
    <col width="12.63" customWidth="1" style="227" min="3" max="3"/>
    <col width="15.5" customWidth="1" style="227" min="4" max="4"/>
    <col width="11.88" customWidth="1" style="227" min="5" max="5"/>
    <col width="9.5" customWidth="1" style="227" min="6" max="6"/>
    <col width="5.13" customWidth="1" style="227" min="7" max="7"/>
    <col width="16.5" customWidth="1" style="227" min="8" max="8"/>
    <col width="9.380000000000001" customWidth="1" style="227" min="9" max="9"/>
    <col width="8" customWidth="1" style="227" min="10" max="11"/>
    <col width="14" customWidth="1" style="227" min="12" max="12"/>
  </cols>
  <sheetData>
    <row r="1">
      <c r="A1" s="2" t="inlineStr">
        <is>
          <t>McPAT / gem5 Power &amp; Energy Analysis — S4D Galaxy Classifier (RVV vs Scalar)</t>
        </is>
      </c>
    </row>
    <row r="2">
      <c r="A2" s="5" t="inlineStr">
        <is>
          <t>Cycle-accurate gem5 (RiscvMinorCPU, VLEN=256) + McPAT power model. One forward pass per measurement.</t>
        </is>
      </c>
    </row>
    <row r="3">
      <c r="A3" s="4" t="n"/>
      <c r="B3" s="4" t="n"/>
      <c r="C3" s="4" t="n"/>
      <c r="D3" s="4" t="n"/>
      <c r="E3" s="4" t="n"/>
      <c r="F3" s="4" t="n"/>
      <c r="G3" s="4" t="n"/>
      <c r="H3" s="4" t="n"/>
      <c r="I3" s="4" t="n"/>
      <c r="J3" s="4" t="n"/>
      <c r="K3" s="4" t="n"/>
      <c r="L3" s="4" t="n"/>
    </row>
    <row r="4">
      <c r="A4" s="204" t="inlineStr">
        <is>
          <t>Setup / assumptions</t>
        </is>
      </c>
      <c r="B4" s="204" t="n"/>
      <c r="C4" s="204" t="n"/>
      <c r="D4" s="204" t="n"/>
      <c r="E4" s="204" t="n"/>
      <c r="F4" s="204" t="n"/>
      <c r="G4" s="204" t="n"/>
      <c r="H4" s="204" t="n"/>
      <c r="I4" s="204" t="n"/>
      <c r="J4" s="204" t="n"/>
      <c r="K4" s="204" t="n"/>
      <c r="L4" s="204" t="n"/>
    </row>
    <row r="5">
      <c r="A5" s="205" t="inlineStr">
        <is>
          <t>CPU model</t>
        </is>
      </c>
      <c r="B5" s="220" t="inlineStr">
        <is>
          <t>RiscvMinorCPU (in-order)</t>
        </is>
      </c>
      <c r="C5" s="270" t="n"/>
      <c r="D5" s="270" t="n"/>
      <c r="E5" s="270" t="n"/>
      <c r="F5" s="271" t="n"/>
      <c r="G5" s="4" t="n"/>
      <c r="H5" s="4" t="n"/>
      <c r="I5" s="4" t="n"/>
      <c r="J5" s="4" t="n"/>
      <c r="K5" s="4" t="n"/>
      <c r="L5" s="4" t="n"/>
    </row>
    <row r="6">
      <c r="A6" s="205" t="inlineStr">
        <is>
          <t>Vector</t>
        </is>
      </c>
      <c r="B6" s="220" t="inlineStr">
        <is>
          <t>RVV 1.0, VLEN=256, ELEN=32</t>
        </is>
      </c>
      <c r="C6" s="270" t="n"/>
      <c r="D6" s="270" t="n"/>
      <c r="E6" s="270" t="n"/>
      <c r="F6" s="271" t="n"/>
      <c r="G6" s="4" t="n"/>
      <c r="H6" s="4" t="n"/>
      <c r="I6" s="4" t="n"/>
      <c r="J6" s="4" t="n"/>
      <c r="K6" s="4" t="n"/>
      <c r="L6" s="4" t="n"/>
    </row>
    <row r="7">
      <c r="A7" s="205" t="inlineStr">
        <is>
          <t>Clock</t>
        </is>
      </c>
      <c r="B7" s="220" t="inlineStr">
        <is>
          <t>100 MHz (stand-in)</t>
        </is>
      </c>
      <c r="C7" s="270" t="n"/>
      <c r="D7" s="270" t="n"/>
      <c r="E7" s="270" t="n"/>
      <c r="F7" s="271" t="n"/>
      <c r="G7" s="4" t="n"/>
      <c r="H7" s="4" t="n"/>
      <c r="I7" s="4" t="n"/>
      <c r="J7" s="4" t="n"/>
      <c r="K7" s="4" t="n"/>
      <c r="L7" s="4" t="n"/>
    </row>
    <row r="8">
      <c r="A8" s="205" t="inlineStr">
        <is>
          <t>Process node</t>
        </is>
      </c>
      <c r="B8" s="220" t="inlineStr">
        <is>
          <t>22 nm (McPAT template, stand-in)</t>
        </is>
      </c>
      <c r="C8" s="270" t="n"/>
      <c r="D8" s="270" t="n"/>
      <c r="E8" s="270" t="n"/>
      <c r="F8" s="271" t="n"/>
      <c r="G8" s="4" t="n"/>
      <c r="H8" s="4" t="n"/>
      <c r="I8" s="4" t="n"/>
      <c r="J8" s="4" t="n"/>
      <c r="K8" s="4" t="n"/>
      <c r="L8" s="4" t="n"/>
    </row>
    <row r="9">
      <c r="A9" s="205" t="inlineStr">
        <is>
          <t>fp-fraction</t>
        </is>
      </c>
      <c r="B9" s="220" t="inlineStr">
        <is>
          <t>0.60 (float-heavy S4D; measured ~0.60 for d108)</t>
        </is>
      </c>
      <c r="C9" s="270" t="n"/>
      <c r="D9" s="270" t="n"/>
      <c r="E9" s="270" t="n"/>
      <c r="F9" s="271" t="n"/>
      <c r="G9" s="4" t="n"/>
      <c r="H9" s="4" t="n"/>
      <c r="I9" s="4" t="n"/>
      <c r="J9" s="4" t="n"/>
      <c r="K9" s="4" t="n"/>
      <c r="L9" s="4" t="n"/>
    </row>
    <row r="10">
      <c r="A10" s="205" t="inlineStr">
        <is>
          <t>Cache</t>
        </is>
      </c>
      <c r="B10" s="220" t="inlineStr">
        <is>
          <t>Private L1 I/D (16 KiB each), no L2/L3</t>
        </is>
      </c>
      <c r="C10" s="270" t="n"/>
      <c r="D10" s="270" t="n"/>
      <c r="E10" s="270" t="n"/>
      <c r="F10" s="271" t="n"/>
      <c r="G10" s="4" t="n"/>
      <c r="H10" s="4" t="n"/>
      <c r="I10" s="4" t="n"/>
      <c r="J10" s="4" t="n"/>
      <c r="K10" s="4" t="n"/>
      <c r="L10" s="4" t="n"/>
    </row>
    <row r="11">
      <c r="A11" s="205" t="inlineStr">
        <is>
          <t>Workload</t>
        </is>
      </c>
      <c r="B11" s="220" t="inlineStr">
        <is>
          <t>1 inference (one 64x64 image), data-independent compute</t>
        </is>
      </c>
      <c r="C11" s="270" t="n"/>
      <c r="D11" s="270" t="n"/>
      <c r="E11" s="270" t="n"/>
      <c r="F11" s="271" t="n"/>
      <c r="G11" s="4" t="n"/>
      <c r="H11" s="4" t="n"/>
      <c r="I11" s="4" t="n"/>
      <c r="J11" s="4" t="n"/>
      <c r="K11" s="4" t="n"/>
      <c r="L11" s="4" t="n"/>
    </row>
    <row r="12">
      <c r="A12" s="204" t="inlineStr">
        <is>
          <t>Fixed hardware (identical for every build — same core)</t>
        </is>
      </c>
      <c r="B12" s="204" t="n"/>
      <c r="C12" s="204" t="n"/>
      <c r="D12" s="204" t="n"/>
      <c r="E12" s="204" t="n"/>
      <c r="F12" s="204" t="n"/>
      <c r="G12" s="204" t="n"/>
      <c r="H12" s="204" t="n"/>
      <c r="I12" s="204" t="n"/>
      <c r="J12" s="204" t="n"/>
      <c r="K12" s="204" t="n"/>
      <c r="L12" s="204" t="n"/>
    </row>
    <row r="13">
      <c r="A13" s="205" t="inlineStr">
        <is>
          <t>Area</t>
        </is>
      </c>
      <c r="B13" s="220" t="inlineStr">
        <is>
          <t>1.56708 mm²</t>
        </is>
      </c>
      <c r="C13" s="270" t="n"/>
      <c r="D13" s="271" t="n"/>
      <c r="E13" s="4" t="n"/>
      <c r="F13" s="4" t="n"/>
      <c r="G13" s="4" t="n"/>
      <c r="H13" s="4" t="n"/>
      <c r="I13" s="4" t="n"/>
      <c r="J13" s="4" t="n"/>
      <c r="K13" s="4" t="n"/>
      <c r="L13" s="4" t="n"/>
    </row>
    <row r="14">
      <c r="A14" s="205" t="inlineStr">
        <is>
          <t>Peak Dynamic</t>
        </is>
      </c>
      <c r="B14" s="220" t="inlineStr">
        <is>
          <t>0.0590695 W</t>
        </is>
      </c>
      <c r="C14" s="270" t="n"/>
      <c r="D14" s="271" t="n"/>
      <c r="E14" s="4" t="n"/>
      <c r="F14" s="4" t="n"/>
      <c r="G14" s="4" t="n"/>
      <c r="H14" s="4" t="n"/>
      <c r="I14" s="4" t="n"/>
      <c r="J14" s="4" t="n"/>
      <c r="K14" s="4" t="n"/>
      <c r="L14" s="4" t="n"/>
    </row>
    <row r="15">
      <c r="A15" s="205" t="inlineStr">
        <is>
          <t>Subthreshold Leakage</t>
        </is>
      </c>
      <c r="B15" s="220" t="inlineStr">
        <is>
          <t>0.00123784 W</t>
        </is>
      </c>
      <c r="C15" s="270" t="n"/>
      <c r="D15" s="271" t="n"/>
      <c r="E15" s="4" t="n"/>
      <c r="F15" s="4" t="n"/>
      <c r="G15" s="4" t="n"/>
      <c r="H15" s="4" t="n"/>
      <c r="I15" s="4" t="n"/>
      <c r="J15" s="4" t="n"/>
      <c r="K15" s="4" t="n"/>
      <c r="L15" s="4" t="n"/>
    </row>
    <row r="16">
      <c r="A16" s="205" t="inlineStr">
        <is>
          <t>Gate Leakage</t>
        </is>
      </c>
      <c r="B16" s="220" t="inlineStr">
        <is>
          <t>0.000328242 W</t>
        </is>
      </c>
      <c r="C16" s="270" t="n"/>
      <c r="D16" s="271" t="n"/>
      <c r="E16" s="4" t="n"/>
      <c r="F16" s="4" t="n"/>
      <c r="G16" s="4" t="n"/>
      <c r="H16" s="4" t="n"/>
      <c r="I16" s="4" t="n"/>
      <c r="J16" s="4" t="n"/>
      <c r="K16" s="4" t="n"/>
      <c r="L16" s="4" t="n"/>
    </row>
    <row r="17">
      <c r="A17" s="205" t="inlineStr">
        <is>
          <t>Total Leakage</t>
        </is>
      </c>
      <c r="B17" s="220" t="inlineStr">
        <is>
          <t>0.00156608 W</t>
        </is>
      </c>
      <c r="C17" s="270" t="n"/>
      <c r="D17" s="271"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216" t="inlineStr">
        <is>
          <t>Architecture</t>
        </is>
      </c>
      <c r="B19" s="216" t="inlineStr">
        <is>
          <t>Build</t>
        </is>
      </c>
      <c r="C19" s="216" t="inlineStr">
        <is>
          <t>QEMU instret
 (-O2, 1 pass)</t>
        </is>
      </c>
      <c r="D19" s="216" t="inlineStr">
        <is>
          <t>gem5 committed
 instructions</t>
        </is>
      </c>
      <c r="E19" s="216" t="inlineStr">
        <is>
          <t>gem5 cycles
 (@100MHz)</t>
        </is>
      </c>
      <c r="F19" s="216" t="inlineStr">
        <is>
          <t>Exec time
 (sim s)</t>
        </is>
      </c>
      <c r="G19" s="216" t="inlineStr">
        <is>
          <t>IPC</t>
        </is>
      </c>
      <c r="H19" s="216" t="inlineStr">
        <is>
          <t>Runtime Dynamic
 power (W)</t>
        </is>
      </c>
      <c r="I19" s="216" t="inlineStr">
        <is>
          <t>Exec Unit
 (W)</t>
        </is>
      </c>
      <c r="J19" s="216" t="inlineStr">
        <is>
          <t>FPU
 (W)</t>
        </is>
      </c>
      <c r="K19" s="216" t="inlineStr">
        <is>
          <t>Int ALU
 (W)</t>
        </is>
      </c>
      <c r="L19" s="216" t="inlineStr">
        <is>
          <t>Energy /
 inference (mJ)</t>
        </is>
      </c>
    </row>
    <row r="20">
      <c r="A20" s="205" t="inlineStr">
        <is>
          <t>d64</t>
        </is>
      </c>
      <c r="B20" s="205" t="inlineStr">
        <is>
          <t>RVV</t>
        </is>
      </c>
      <c r="C20" s="211" t="n">
        <v>2211287185</v>
      </c>
      <c r="D20" s="211" t="n">
        <v>33082055</v>
      </c>
      <c r="E20" s="211" t="n">
        <v>38265894</v>
      </c>
      <c r="F20" s="212" t="n">
        <v>0.382659</v>
      </c>
      <c r="G20" s="212" t="n">
        <v>0.865</v>
      </c>
      <c r="H20" s="212" t="n">
        <v>0.010952</v>
      </c>
      <c r="I20" s="212" t="n">
        <v>0.00772</v>
      </c>
      <c r="J20" s="212" t="n">
        <v>0.004678</v>
      </c>
      <c r="K20" s="212" t="n">
        <v>0.00104</v>
      </c>
      <c r="L20" s="213" t="n">
        <v>4.19</v>
      </c>
    </row>
    <row r="21">
      <c r="A21" s="205" t="inlineStr">
        <is>
          <t>d64</t>
        </is>
      </c>
      <c r="B21" s="205" t="inlineStr">
        <is>
          <t>Scalar</t>
        </is>
      </c>
      <c r="C21" s="211" t="n">
        <v>4606445278</v>
      </c>
      <c r="D21" s="211" t="n">
        <v>152657262</v>
      </c>
      <c r="E21" s="211" t="n">
        <v>249814105</v>
      </c>
      <c r="F21" s="212" t="n">
        <v>2.498141</v>
      </c>
      <c r="G21" s="212" t="n">
        <v>0.611</v>
      </c>
      <c r="H21" s="212" t="n">
        <v>0.008756</v>
      </c>
      <c r="I21" s="212" t="n">
        <v>0.005617</v>
      </c>
      <c r="J21" s="212" t="n">
        <v>0.003307</v>
      </c>
      <c r="K21" s="212" t="n">
        <v>0.000735</v>
      </c>
      <c r="L21" s="213" t="n">
        <v>21.87</v>
      </c>
    </row>
    <row r="22">
      <c r="A22" s="205" t="inlineStr">
        <is>
          <t>d108</t>
        </is>
      </c>
      <c r="B22" s="205" t="inlineStr">
        <is>
          <t>RVV</t>
        </is>
      </c>
      <c r="C22" s="211" t="n">
        <v>663704282</v>
      </c>
      <c r="D22" s="211" t="n">
        <v>19948328</v>
      </c>
      <c r="E22" s="211" t="n">
        <v>28647074</v>
      </c>
      <c r="F22" s="212" t="n">
        <v>0.286471</v>
      </c>
      <c r="G22" s="212" t="n">
        <v>0.696</v>
      </c>
      <c r="H22" s="212" t="n">
        <v>0.009934999999999999</v>
      </c>
      <c r="I22" s="212" t="n">
        <v>0.006325</v>
      </c>
      <c r="J22" s="212" t="n">
        <v>0.003768</v>
      </c>
      <c r="K22" s="212" t="n">
        <v>0.000837</v>
      </c>
      <c r="L22" s="213" t="n">
        <v>2.85</v>
      </c>
    </row>
    <row r="23">
      <c r="A23" s="205" t="inlineStr">
        <is>
          <t>d108</t>
        </is>
      </c>
      <c r="B23" s="205" t="inlineStr">
        <is>
          <t>Scalar</t>
        </is>
      </c>
      <c r="C23" s="211" t="n">
        <v>1020395866</v>
      </c>
      <c r="D23" s="211" t="n">
        <v>33051024</v>
      </c>
      <c r="E23" s="211" t="n">
        <v>53188945</v>
      </c>
      <c r="F23" s="212" t="n">
        <v>0.5318889999999999</v>
      </c>
      <c r="G23" s="212" t="n">
        <v>0.621</v>
      </c>
      <c r="H23" s="212" t="n">
        <v>0.008931</v>
      </c>
      <c r="I23" s="212" t="n">
        <v>0.005703</v>
      </c>
      <c r="J23" s="212" t="n">
        <v>0.003363</v>
      </c>
      <c r="K23" s="212" t="n">
        <v>0.0007470000000000001</v>
      </c>
      <c r="L23" s="213" t="n">
        <v>4.75</v>
      </c>
    </row>
  </sheetData>
  <mergeCells count="14">
    <mergeCell ref="A2:L2"/>
    <mergeCell ref="B7:F7"/>
    <mergeCell ref="B14:D14"/>
    <mergeCell ref="B6:F6"/>
    <mergeCell ref="B10:F10"/>
    <mergeCell ref="B11:F11"/>
    <mergeCell ref="A1:L1"/>
    <mergeCell ref="B5:F5"/>
    <mergeCell ref="B17:D17"/>
    <mergeCell ref="B13:D13"/>
    <mergeCell ref="B8:F8"/>
    <mergeCell ref="B15:D15"/>
    <mergeCell ref="B9:F9"/>
    <mergeCell ref="B16:D16"/>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E21"/>
  <sheetViews>
    <sheetView workbookViewId="0">
      <selection activeCell="A1" sqref="A1"/>
    </sheetView>
  </sheetViews>
  <sheetFormatPr baseColWidth="8" defaultColWidth="12.63" defaultRowHeight="15.75" customHeight="1"/>
  <cols>
    <col width="50.38" customWidth="1" style="227" min="1" max="1"/>
    <col width="18.38" customWidth="1" style="227" min="3" max="3"/>
    <col width="86" customWidth="1" style="227" min="5" max="5"/>
  </cols>
  <sheetData>
    <row r="1">
      <c r="A1" s="9" t="inlineStr">
        <is>
          <t>RVV advantage per architecture (RVV vs Scalar, same core)</t>
        </is>
      </c>
    </row>
    <row r="2">
      <c r="A2" s="4" t="n"/>
      <c r="B2" s="4" t="n"/>
      <c r="C2" s="4" t="n"/>
      <c r="D2" s="4" t="n"/>
      <c r="E2" s="4" t="n"/>
    </row>
    <row r="3">
      <c r="A3" s="216" t="inlineStr">
        <is>
          <t>Architecture</t>
        </is>
      </c>
      <c r="B3" s="216" t="inlineStr">
        <is>
          <t>Faster (time)</t>
        </is>
      </c>
      <c r="C3" s="216" t="inlineStr">
        <is>
          <t>Fewer instructions</t>
        </is>
      </c>
      <c r="D3" s="216" t="inlineStr">
        <is>
          <t>Less energy</t>
        </is>
      </c>
      <c r="E3" s="216" t="inlineStr">
        <is>
          <t>RVV energy / Scalar energy</t>
        </is>
      </c>
    </row>
    <row r="4">
      <c r="A4" s="205" t="inlineStr">
        <is>
          <t>d64</t>
        </is>
      </c>
      <c r="B4" s="212" t="inlineStr">
        <is>
          <t>6.53×</t>
        </is>
      </c>
      <c r="C4" s="212" t="inlineStr">
        <is>
          <t>4.61×</t>
        </is>
      </c>
      <c r="D4" s="212" t="inlineStr">
        <is>
          <t>5.22×</t>
        </is>
      </c>
      <c r="E4" s="212" t="inlineStr">
        <is>
          <t>4.19 mJ vs 21.87 mJ</t>
        </is>
      </c>
    </row>
    <row r="5">
      <c r="A5" s="205" t="inlineStr">
        <is>
          <t>d108</t>
        </is>
      </c>
      <c r="B5" s="212" t="inlineStr">
        <is>
          <t>1.86×</t>
        </is>
      </c>
      <c r="C5" s="212" t="inlineStr">
        <is>
          <t>1.66×</t>
        </is>
      </c>
      <c r="D5" s="212" t="inlineStr">
        <is>
          <t>1.67×</t>
        </is>
      </c>
      <c r="E5" s="212" t="inlineStr">
        <is>
          <t>2.85 mJ vs 4.75 mJ</t>
        </is>
      </c>
    </row>
    <row r="6">
      <c r="A6" s="4" t="n"/>
      <c r="B6" s="4" t="n"/>
      <c r="C6" s="4" t="n"/>
      <c r="D6" s="4" t="n"/>
      <c r="E6" s="4" t="n"/>
    </row>
    <row r="7">
      <c r="A7" s="204" t="inlineStr">
        <is>
          <t>d108 accuracy (real GalaxyMNIST test set, 2000 images)</t>
        </is>
      </c>
      <c r="B7" s="204" t="n"/>
      <c r="C7" s="204" t="n"/>
      <c r="D7" s="204" t="n"/>
      <c r="E7" s="204" t="n"/>
    </row>
    <row r="8">
      <c r="A8" s="205" t="inlineStr">
        <is>
          <t>PyTorch accuracy</t>
        </is>
      </c>
      <c r="B8" s="214" t="n">
        <v>0.822</v>
      </c>
      <c r="C8" s="4" t="n"/>
      <c r="D8" s="4" t="n"/>
      <c r="E8" s="4" t="n"/>
    </row>
    <row r="9">
      <c r="A9" s="205" t="inlineStr">
        <is>
          <t>C model accuracy</t>
        </is>
      </c>
      <c r="B9" s="214" t="n">
        <v>0.822</v>
      </c>
      <c r="C9" s="4" t="n"/>
      <c r="D9" s="4" t="n"/>
      <c r="E9" s="4" t="n"/>
    </row>
    <row r="10">
      <c r="A10" s="205" t="inlineStr">
        <is>
          <t>C vs PyTorch agreement</t>
        </is>
      </c>
      <c r="B10" s="214" t="n">
        <v>1</v>
      </c>
      <c r="C10" s="4" t="n"/>
      <c r="D10" s="4" t="n"/>
      <c r="E10" s="4" t="n"/>
    </row>
    <row r="11">
      <c r="A11" s="4" t="n"/>
      <c r="B11" s="4" t="n"/>
      <c r="C11" s="4" t="n"/>
      <c r="D11" s="4" t="n"/>
      <c r="E11" s="4" t="n"/>
    </row>
    <row r="12">
      <c r="A12" s="26" t="inlineStr">
        <is>
          <t>Correction of the earlier third-party McPAT report (same d64 code)</t>
        </is>
      </c>
    </row>
    <row r="13">
      <c r="A13" s="216" t="n"/>
      <c r="B13" s="216" t="inlineStr">
        <is>
          <t>RVV time used</t>
        </is>
      </c>
      <c r="C13" s="216" t="inlineStr">
        <is>
          <t>RVV power</t>
        </is>
      </c>
      <c r="D13" s="216" t="inlineStr">
        <is>
          <t>RVV energy</t>
        </is>
      </c>
      <c r="E13" s="216" t="inlineStr">
        <is>
          <t>Note</t>
        </is>
      </c>
    </row>
    <row r="14">
      <c r="A14" s="205" t="inlineStr">
        <is>
          <t>Earlier report</t>
        </is>
      </c>
      <c r="B14" s="212" t="inlineStr">
        <is>
          <t>2.454494 s</t>
        </is>
      </c>
      <c r="C14" s="212" t="inlineStr">
        <is>
          <t>0.0103 W</t>
        </is>
      </c>
      <c r="D14" s="217" t="inlineStr">
        <is>
          <t>25.3 mJ</t>
        </is>
      </c>
      <c r="E14" s="220" t="inlineStr">
        <is>
          <t>Used the SCALAR execution time by mistake (their RVV run was not vectorized: 143M instr / 2.45 s = scalar-class)</t>
        </is>
      </c>
    </row>
    <row r="15">
      <c r="A15" s="205" t="inlineStr">
        <is>
          <t>Correct (this study)</t>
        </is>
      </c>
      <c r="B15" s="212" t="inlineStr">
        <is>
          <t>0.382659 s</t>
        </is>
      </c>
      <c r="C15" s="212" t="inlineStr">
        <is>
          <t>0.0103 W</t>
        </is>
      </c>
      <c r="D15" s="219" t="inlineStr">
        <is>
          <t>3.94 mJ</t>
        </is>
      </c>
      <c r="E15" s="220" t="inlineStr">
        <is>
          <t>RVV power × the actual RVV time. A real RVV run is 33M instr / 0.38 s.</t>
        </is>
      </c>
    </row>
    <row r="16">
      <c r="A16" s="220" t="n"/>
      <c r="B16" s="4" t="n"/>
      <c r="C16" s="4" t="n"/>
      <c r="D16" s="4" t="n"/>
      <c r="E16" s="4" t="n"/>
    </row>
    <row r="17">
      <c r="A17" s="5" t="inlineStr">
        <is>
          <t>Tell-tale: the report's 25.3 mJ 'RVV' energy exceeds the true scalar energy (20.7-21.9 mJ) — impossible for a genuine speedup.</t>
        </is>
      </c>
    </row>
    <row r="18">
      <c r="A18" s="4" t="n"/>
      <c r="B18" s="4" t="n"/>
      <c r="C18" s="4" t="n"/>
      <c r="D18" s="4" t="n"/>
      <c r="E18" s="4" t="n"/>
    </row>
    <row r="19">
      <c r="A19" s="221" t="inlineStr">
        <is>
          <t>Energy = Runtime Dynamic power × execution time (each build paired with its OWN time). QEMU instret and gem5 committed differ because QEMU expands each cross-lane vector reduction into ~3100 retired instructions; gem5 counts it as 1. Absolute watts depend on the 22nm/100MHz/fp-0.60 McPAT assumptions; the RVV-vs-scalar ratios are robust to them.</t>
        </is>
      </c>
    </row>
    <row r="20"/>
    <row r="21"/>
  </sheetData>
  <mergeCells count="4">
    <mergeCell ref="A1:E1"/>
    <mergeCell ref="A17:E17"/>
    <mergeCell ref="A12:E12"/>
    <mergeCell ref="A19:E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2026-08-29T03:50:33Z</dcterms:created>
  <dcterms:modified xmlns:dcterms="http://purl.org/dc/terms/" xmlns:xsi="http://www.w3.org/2001/XMLSchema-instance" xsi:type="dcterms:W3CDTF">2026-08-29T03:50:33Z</dcterms:modified>
</cp:coreProperties>
</file>